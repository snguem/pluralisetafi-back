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63" activeTab="68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  <sheet name="Evaluation Warning (1)" sheetId="68" r:id="rId61"/>
    <sheet name="Evaluation Warning (2)" sheetId="69" r:id="rId62"/>
    <sheet name="Evaluation Warning (3)" sheetId="70" r:id="rId63"/>
    <sheet name="Evaluation Warning (4)" sheetId="71" r:id="rId64"/>
    <sheet name="Evaluation Warning (5)" sheetId="72" r:id="rId65"/>
    <sheet name="Evaluation Warning (6)" sheetId="73" r:id="rId66"/>
    <sheet name="Evaluation Warning (7)" sheetId="74" r:id="rId67"/>
    <sheet name="Evaluation Warning (8)" sheetId="75" r:id="rId68"/>
    <sheet name="Evaluation Warning (9)" sheetId="76" r:id="rId69"/>
    <sheet name="Evaluation Warning (10)" sheetId="77" r:id="rId70"/>
    <sheet name="Evaluation Warning (11)" sheetId="78" r:id="rId71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<sst xmlns="http://schemas.openxmlformats.org/spreadsheetml/2006/main" count="4759" uniqueCount="1903">
  <si>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</si>
  <si>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</si>
  <si>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</si>
  <si>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</si>
  <si>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</si>
  <si>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</si>
  <si>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</si>
  <si>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</si>
  <si>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</si>
  <si>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</si>
  <si>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</si>
  <si>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</si>
  <si>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</si>
  <si>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</si>
  <si>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</si>
  <si>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</si>
  <si>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</si>
  <si>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</si>
  <si>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</si>
  <si>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</si>
  <si>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</si>
  <si>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</si>
  <si>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</si>
  <si>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</si>
  <si>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</si>
  <si>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</si>
  <si>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</si>
  <si>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</si>
  <si>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</si>
  <si>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</si>
  <si>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</si>
  <si>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</si>
  <si>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</si>
  <si>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</si>
  <si>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</si>
  <si>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</si>
  <si>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</si>
  <si>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</si>
  <si>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</si>
  <si>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</si>
  <si>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</si>
  <si>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</si>
  <si>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</si>
  <si>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</si>
  <si>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</si>
  <si>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</si>
  <si>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</si>
  <si>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</si>
  <si>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</si>
  <si>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</si>
  <si>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</si>
  <si>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</si>
  <si>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</si>
  <si>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</si>
  <si>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</si>
  <si>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</si>
  <si>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</si>
  <si>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</si>
  <si>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</si>
  <si>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</si>
  <si>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</si>
  <si>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</si>
  <si>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</si>
  <si>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</si>
  <si>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</si>
  <si>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</si>
  <si>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</si>
  <si>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</si>
  <si>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</si>
  <si>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</si>
  <si>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</si>
  <si>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</si>
  <si>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</si>
  <si>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</si>
  <si>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</si>
  <si>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</si>
  <si>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</si>
  <si>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</si>
  <si>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</si>
  <si>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</si>
  <si>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</si>
  <si>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</si>
  <si>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</si>
  <si>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</si>
  <si>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</si>
  <si>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</si>
  <si>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</si>
  <si>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</si>
  <si>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</si>
  <si>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</si>
  <si>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</si>
  <si>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</si>
  <si>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</si>
  <si>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</si>
  <si>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</si>
  <si>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</si>
  <si>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</si>
  <si>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</si>
  <si>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</si>
  <si>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</si>
  <si>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</si>
  <si>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</si>
  <si>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</si>
  <si>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</si>
  <si>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</si>
  <si>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</si>
  <si>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</si>
  <si>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</si>
  <si>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</si>
  <si>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</si>
  <si>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</si>
  <si>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</si>
  <si>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</si>
  <si>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</si>
  <si>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</si>
  <si>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</si>
  <si>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</si>
  <si>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</si>
  <si>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</si>
  <si>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</si>
  <si>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</si>
  <si>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</si>
  <si>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</si>
  <si>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</si>
  <si>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</si>
  <si>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</si>
  <si>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</si>
  <si>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</si>
  <si>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</si>
  <si>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</si>
  <si>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</si>
  <si>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</si>
  <si>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</si>
  <si>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</si>
  <si>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</si>
  <si>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</si>
  <si>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</si>
  <si>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</si>
  <si>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</si>
  <si>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</si>
  <si>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</si>
  <si>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</si>
  <si>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</si>
  <si>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</si>
  <si>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</si>
  <si>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</si>
  <si>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</si>
  <si>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</si>
  <si>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</si>
  <si>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</si>
  <si>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</si>
  <si>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</si>
  <si>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</si>
  <si>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</si>
  <si>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</si>
  <si>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</si>
  <si>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</si>
  <si>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</si>
  <si>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</si>
  <si>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</si>
  <si>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</si>
  <si>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</si>
  <si>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</si>
  <si>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</si>
  <si>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</si>
  <si>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</si>
  <si>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</si>
  <si>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</si>
  <si>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</si>
  <si>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</si>
  <si>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</si>
  <si>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</si>
  <si>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</si>
  <si>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</si>
  <si>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</si>
  <si>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</si>
  <si>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</si>
  <si>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</si>
  <si>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</si>
  <si>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</si>
  <si>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</si>
  <si>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</si>
  <si>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</si>
  <si>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</si>
  <si>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</si>
  <si>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</si>
  <si>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</si>
  <si>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</si>
  <si>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</si>
  <si>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</si>
  <si>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</si>
  <si>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</si>
  <si>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</si>
  <si>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</si>
  <si>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</si>
  <si>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</si>
  <si>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</si>
  <si>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</si>
  <si>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</si>
  <si>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</si>
  <si>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</si>
  <si>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</si>
  <si>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</si>
  <si>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</si>
  <si>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</si>
  <si>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</si>
  <si>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</si>
  <si>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</si>
  <si>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</si>
  <si>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</si>
  <si>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</si>
  <si>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</si>
  <si>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</si>
  <si>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</si>
  <si>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</si>
  <si>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</si>
  <si>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</si>
  <si>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</si>
  <si>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</si>
  <si>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</si>
  <si>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</si>
  <si>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</si>
  <si>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</si>
  <si>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</si>
  <si>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</si>
  <si>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</si>
  <si>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</si>
  <si>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</si>
  <si>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</si>
  <si>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</si>
  <si>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</si>
  <si>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</si>
  <si>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</si>
  <si>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</si>
  <si>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</si>
  <si>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</si>
  <si>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</si>
  <si>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</si>
  <si>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</si>
  <si>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</si>
  <si>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</si>
  <si>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</si>
  <si>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</si>
  <si>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</si>
  <si>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</si>
  <si>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</si>
  <si>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</si>
  <si>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</si>
  <si>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</si>
  <si>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</si>
  <si>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</si>
  <si>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</si>
  <si>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</si>
  <si>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</si>
  <si>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</si>
  <si>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</si>
  <si>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</si>
  <si>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</si>
  <si>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</si>
  <si>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</si>
  <si>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</si>
  <si>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</si>
  <si>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</si>
  <si>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</si>
  <si>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</si>
  <si>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</si>
  <si>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</si>
  <si>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</si>
  <si>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</si>
  <si>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</si>
  <si>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</si>
  <si>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</si>
  <si>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</si>
  <si>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</si>
  <si>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</si>
  <si>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</si>
  <si>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</si>
  <si>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</si>
  <si>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</si>
  <si>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</si>
  <si>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</si>
  <si>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</si>
  <si>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</si>
  <si>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</si>
  <si>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</si>
  <si>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</si>
  <si>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</si>
  <si>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</si>
  <si>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</si>
  <si>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</si>
  <si>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</si>
  <si>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</si>
  <si>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</si>
  <si>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</si>
  <si>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</si>
  <si>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</si>
  <si>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</si>
  <si>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</si>
  <si>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</si>
  <si>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</si>
  <si>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</si>
  <si>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</si>
  <si>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</si>
  <si>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</si>
  <si>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</si>
  <si>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</si>
  <si>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</si>
  <si>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</si>
  <si>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</si>
  <si>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</si>
  <si>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</si>
  <si>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</si>
  <si>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</si>
  <si>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</si>
  <si>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</si>
  <si>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</si>
  <si>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</si>
  <si>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</si>
  <si>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</si>
  <si>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</si>
  <si>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</si>
  <si>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</si>
  <si>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</si>
  <si>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</si>
  <si>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</si>
  <si>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</si>
  <si>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</si>
  <si>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</si>
  <si>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</si>
  <si>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</si>
  <si>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</si>
  <si>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</si>
  <si>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</si>
  <si>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</si>
  <si>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</si>
  <si>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</si>
  <si>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</si>
  <si>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</si>
  <si>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</si>
  <si>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</si>
  <si>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</si>
  <si>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</si>
  <si>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</si>
  <si>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</si>
  <si>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</si>
  <si>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</si>
  <si>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</si>
  <si>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</si>
  <si>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</si>
  <si>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</si>
  <si>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</si>
  <si>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</si>
  <si>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</si>
  <si>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</si>
  <si>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</si>
  <si>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</si>
  <si>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</si>
  <si>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</si>
  <si>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</si>
  <si>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</si>
  <si>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</si>
  <si>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</si>
  <si>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</si>
  <si>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</si>
  <si>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</si>
  <si>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</si>
  <si>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</si>
  <si>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</si>
  <si>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</si>
  <si>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</si>
  <si>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</si>
  <si>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</si>
  <si>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</si>
  <si>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</si>
  <si>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</si>
  <si>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</si>
  <si>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</si>
  <si>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</si>
  <si>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</si>
  <si>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</si>
  <si>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</si>
  <si>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</si>
  <si>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</si>
  <si>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</si>
  <si>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</si>
  <si>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</si>
  <si>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</si>
  <si>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</si>
  <si>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</si>
  <si>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</si>
  <si>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</si>
  <si>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</si>
  <si>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</si>
  <si>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</si>
  <si>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</si>
  <si>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</si>
  <si>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</si>
  <si>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</si>
  <si>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</si>
  <si>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</si>
  <si>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</si>
  <si>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</si>
  <si>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</si>
  <si>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</si>
  <si>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</si>
  <si>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</si>
  <si>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</si>
  <si>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</si>
  <si>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</si>
  <si>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</si>
  <si>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</si>
  <si>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</si>
  <si>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</si>
  <si>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</si>
  <si>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</si>
  <si>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</si>
  <si>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</si>
  <si>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</si>
  <si>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</si>
  <si>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</si>
  <si>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</si>
  <si>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</si>
  <si>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</si>
  <si>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</si>
  <si>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</si>
  <si>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</si>
  <si>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</si>
  <si>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</si>
  <si>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</si>
  <si>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</si>
  <si>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</si>
  <si>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</si>
  <si>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</si>
  <si>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</si>
  <si>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</si>
  <si>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</si>
  <si>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</si>
  <si>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</si>
  <si>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</si>
  <si>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</si>
  <si>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</si>
  <si>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</si>
  <si>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</si>
  <si>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</si>
  <si>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</si>
  <si>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</si>
  <si>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</si>
  <si>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</si>
  <si>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</si>
  <si>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</si>
  <si>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</si>
  <si>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</si>
  <si>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</si>
  <si>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</si>
  <si>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</si>
  <si>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</si>
  <si>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</si>
  <si>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</si>
  <si>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</si>
  <si>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</si>
  <si>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</si>
  <si>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</si>
  <si>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</si>
  <si>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</si>
  <si>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</si>
  <si>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</si>
  <si>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</si>
  <si>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</si>
  <si>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</si>
  <si>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</si>
  <si>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</si>
  <si>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</si>
  <si>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</si>
  <si>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</si>
  <si>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</si>
  <si>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</si>
  <si>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</si>
  <si>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</si>
  <si>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</si>
  <si>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</si>
  <si>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</si>
  <si>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</si>
  <si>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</si>
  <si>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</si>
  <si>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</si>
  <si>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</si>
  <si>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</si>
  <si>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</si>
  <si>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</si>
  <si>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</si>
  <si>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</si>
  <si>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</si>
  <si>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</si>
  <si>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</si>
  <si>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</si>
  <si>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</si>
  <si>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</si>
  <si>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</si>
  <si>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</si>
  <si>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</si>
  <si>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</si>
  <si>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</si>
  <si>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</si>
  <si>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</si>
  <si>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</si>
  <si>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</si>
  <si>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</si>
  <si>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</si>
  <si>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</si>
  <si>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</si>
  <si>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</si>
  <si>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</si>
  <si>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</si>
  <si>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</si>
  <si>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</si>
  <si>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</si>
  <si>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</si>
  <si>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</si>
  <si>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</si>
  <si>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</si>
  <si>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</si>
  <si>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</si>
  <si>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</si>
  <si>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</si>
  <si>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</si>
  <si>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</si>
  <si>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</si>
  <si>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</si>
  <si>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</si>
  <si>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</si>
  <si>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</si>
  <si>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</si>
  <si>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</si>
  <si>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</si>
  <si>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</si>
  <si>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</si>
  <si>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</si>
  <si>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</si>
  <si>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</si>
  <si>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</si>
  <si>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</si>
  <si>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</si>
  <si>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</si>
  <si>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</si>
  <si>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</si>
  <si>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</si>
  <si>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</si>
  <si>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</si>
  <si>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</si>
  <si>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</si>
  <si>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</si>
  <si>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</si>
  <si>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</si>
  <si>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</si>
  <si>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</si>
  <si>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</si>
  <si>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</si>
  <si>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</si>
  <si>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</si>
  <si>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</si>
  <si>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</si>
  <si>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</si>
  <si>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</si>
  <si>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</si>
  <si>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</si>
  <si>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</si>
  <si>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</si>
  <si>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</si>
  <si>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</si>
  <si>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</si>
  <si>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</si>
  <si>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</si>
  <si>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</si>
  <si>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</si>
  <si>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</si>
  <si>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</si>
  <si>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</si>
  <si>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</si>
  <si>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</si>
  <si>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</si>
  <si>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</si>
  <si>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</si>
  <si>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</si>
  <si>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</si>
  <si>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</si>
  <si>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</si>
  <si>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</si>
  <si>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</si>
  <si>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</si>
  <si>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</si>
  <si>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</si>
  <si>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</si>
  <si>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</si>
  <si>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</si>
  <si>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</si>
  <si>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</si>
  <si>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</si>
  <si>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</si>
  <si>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</si>
  <si>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</si>
  <si>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</si>
  <si>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</si>
  <si>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</si>
  <si>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</si>
  <si>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</si>
  <si>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</si>
  <si>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</si>
  <si>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</si>
  <si>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</si>
  <si>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</si>
  <si>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</si>
  <si>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</si>
  <si>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</si>
  <si>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</si>
  <si>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</si>
  <si>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</si>
  <si>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</si>
  <si>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</si>
  <si>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</si>
  <si>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</si>
  <si>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</si>
  <si>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</si>
  <si>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</si>
  <si>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</si>
  <si>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</si>
  <si>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</si>
  <si>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</si>
  <si>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</si>
  <si>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</si>
  <si>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</si>
  <si>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</si>
  <si>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</si>
  <si>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</si>
  <si>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</si>
  <si>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</si>
  <si>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</si>
  <si>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</si>
  <si>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</si>
  <si>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</si>
  <si>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</si>
  <si>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</si>
  <si>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</si>
  <si>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</si>
  <si>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</si>
  <si>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</si>
  <si>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</si>
  <si>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</si>
  <si>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</si>
  <si>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</si>
  <si>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</si>
  <si>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</si>
  <si>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</si>
  <si>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</si>
  <si>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</si>
  <si>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</si>
  <si>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</si>
  <si>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</si>
  <si>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</si>
  <si>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</si>
  <si>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</si>
  <si>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</si>
  <si>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</si>
  <si>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</si>
  <si>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</si>
  <si>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</si>
  <si>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</si>
  <si>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</si>
  <si>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</si>
  <si>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</si>
  <si>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</si>
  <si>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</si>
  <si>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</si>
  <si>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</si>
  <si>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</si>
  <si>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</si>
  <si>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</si>
  <si>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</si>
  <si>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</si>
  <si>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</si>
  <si>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</si>
  <si>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</si>
  <si>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</si>
  <si>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</si>
  <si>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</si>
  <si>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</si>
  <si>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</si>
  <si>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</si>
  <si>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</si>
  <si>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</si>
  <si>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</si>
  <si>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</si>
  <si>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</si>
  <si>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</si>
  <si>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</si>
  <si>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</si>
  <si>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</si>
  <si>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</si>
  <si>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</si>
  <si>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</si>
  <si>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</si>
  <si>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</si>
  <si>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</si>
  <si>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</si>
  <si>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</si>
  <si>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</si>
  <si>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</si>
  <si>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</si>
  <si>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</si>
  <si>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</si>
  <si>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</si>
  <si>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</si>
  <si>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</si>
  <si>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</si>
  <si>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</si>
  <si>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</si>
  <si>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</si>
  <si>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</si>
  <si>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</si>
  <si>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</si>
  <si>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</si>
  <si>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</si>
  <si>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</si>
  <si>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</si>
  <si>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</si>
  <si>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</si>
  <si>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</si>
  <si>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</si>
  <si>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</si>
  <si>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</si>
  <si>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</si>
  <si>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</si>
  <si>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</si>
  <si>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</si>
  <si>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</si>
  <si>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</si>
  <si>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</si>
  <si>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</si>
  <si>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</si>
  <si>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</si>
  <si>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</si>
  <si>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</si>
  <si>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</si>
  <si>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</si>
  <si>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</si>
  <si>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</si>
  <si>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</si>
  <si>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</si>
  <si>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</si>
  <si>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</si>
  <si>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</si>
  <si>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</si>
  <si>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</si>
  <si>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</si>
  <si>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</si>
  <si>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</si>
  <si>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</si>
  <si>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</si>
  <si>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</si>
  <si>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</si>
  <si>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</si>
  <si>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</si>
  <si>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</si>
  <si>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</si>
  <si>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</si>
  <si>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</si>
  <si>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</si>
  <si>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</si>
  <si>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</si>
  <si>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</si>
  <si>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</si>
  <si>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</si>
  <si>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</si>
  <si>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</si>
  <si>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</si>
  <si>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</si>
  <si>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</si>
  <si>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</si>
  <si>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</si>
  <si>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</si>
  <si>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</si>
  <si>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</si>
  <si>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</si>
  <si>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</si>
  <si>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</si>
  <si>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</si>
  <si>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</si>
  <si>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</si>
  <si>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</si>
  <si>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</si>
  <si>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</si>
  <si>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</si>
  <si>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</si>
  <si>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</si>
  <si>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</si>
  <si>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</si>
  <si>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</si>
  <si>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</si>
  <si>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</si>
  <si>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</si>
  <si>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</si>
  <si>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</si>
  <si>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</si>
  <si>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</si>
  <si>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</si>
  <si>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</si>
  <si>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</si>
  <si>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</si>
  <si>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</si>
  <si>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</si>
  <si>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</si>
  <si>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</si>
  <si>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</si>
  <si>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</si>
  <si>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</si>
  <si>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</si>
  <si>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</si>
  <si>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</si>
  <si>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</si>
  <si>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</si>
  <si>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</si>
  <si>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</si>
  <si>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</si>
  <si>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</si>
  <si>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</si>
  <si>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</si>
  <si>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</si>
  <si>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</si>
  <si>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</si>
  <si>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</si>
  <si>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</si>
  <si>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</si>
  <si>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</si>
  <si>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</si>
  <si>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</si>
  <si>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</si>
  <si>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</si>
  <si>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</si>
  <si>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</si>
  <si>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</si>
  <si>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</si>
  <si>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</si>
  <si>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</si>
  <si>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</si>
  <si>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</si>
  <si>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</si>
  <si>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</si>
  <si>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</si>
  <si>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</si>
  <si>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</si>
  <si>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</si>
  <si>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</si>
  <si>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</si>
  <si>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</si>
  <si>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</si>
  <si>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</si>
  <si>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</si>
  <si>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</si>
  <si>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</si>
  <si>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</si>
  <si>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</si>
  <si>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</si>
  <si>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</si>
  <si>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</si>
  <si>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</si>
  <si>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</si>
  <si>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</si>
  <si>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</si>
  <si>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</si>
  <si>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</si>
  <si>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</si>
  <si>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</si>
  <si>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</si>
  <si>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</si>
  <si>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</si>
  <si>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</si>
  <si>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</si>
  <si>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</si>
  <si>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</si>
  <si>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</si>
  <si>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</si>
  <si>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</si>
  <si>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</si>
  <si>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</si>
  <si>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</si>
  <si>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</si>
  <si>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</si>
  <si>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</si>
  <si>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</si>
  <si>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</si>
  <si>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</si>
  <si>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</si>
  <si>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</si>
  <si>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</si>
  <si>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</si>
  <si>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</si>
  <si>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</si>
  <si>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</si>
  <si>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</si>
  <si>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</si>
  <si>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</si>
  <si>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</si>
  <si>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</si>
  <si>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</si>
  <si>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</si>
  <si>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</si>
  <si>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</si>
  <si>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</si>
  <si>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</si>
  <si>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</si>
  <si>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</si>
  <si>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</si>
  <si>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</si>
  <si>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</si>
  <si>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</si>
  <si>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</si>
  <si>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</si>
  <si>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</si>
  <si>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</si>
  <si>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</si>
  <si>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</si>
  <si>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</si>
  <si>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</si>
  <si>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</si>
  <si>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</si>
  <si>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</si>
  <si>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</si>
  <si>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</si>
  <si>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</si>
  <si>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</si>
  <si>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</si>
  <si>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</si>
  <si>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</si>
  <si>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</si>
  <si>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</si>
  <si>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</si>
  <si>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</si>
  <si>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</si>
  <si>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</si>
  <si>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</si>
  <si>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</si>
  <si>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</si>
  <si>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</si>
  <si>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</si>
  <si>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</si>
  <si>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</si>
  <si>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</si>
  <si>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</si>
  <si>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</si>
  <si>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</si>
  <si>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</si>
  <si>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</si>
  <si>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</si>
  <si>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</si>
  <si>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</si>
  <si>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</si>
  <si>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</si>
  <si>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</si>
  <si>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</si>
  <si>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</si>
  <si>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</si>
  <si>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</si>
  <si>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</si>
  <si>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</si>
  <si>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</si>
  <si>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</si>
  <si>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</si>
  <si>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</si>
  <si>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</si>
  <si>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</si>
  <si>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</si>
  <si>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</si>
  <si>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</si>
  <si>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</si>
  <si>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</si>
  <si>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</si>
  <si>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</si>
  <si>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</si>
  <si>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</si>
  <si>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</si>
  <si>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</si>
  <si>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</si>
  <si>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</si>
  <si>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</si>
  <si>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</si>
  <si>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</si>
  <si>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</si>
  <si>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</si>
  <si>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</si>
  <si>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</si>
  <si>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</si>
  <si>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</si>
  <si>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</si>
  <si>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</si>
  <si>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</si>
  <si>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</si>
  <si>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</si>
  <si>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</si>
  <si>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</si>
  <si>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</si>
  <si>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</si>
  <si>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</si>
  <si>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</si>
  <si>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</si>
  <si>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</si>
  <si>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</si>
  <si>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</si>
  <si>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</si>
  <si>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</si>
  <si>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</si>
  <si>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</si>
  <si>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</si>
  <si>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</si>
  <si>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</si>
  <si>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</si>
  <si>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</si>
  <si>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</si>
  <si>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</si>
  <si>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</si>
  <si>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</si>
  <si>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</si>
  <si>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</si>
  <si>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</si>
  <si>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</si>
  <si>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</si>
  <si>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</si>
  <si>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</si>
  <si>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</si>
  <si>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</si>
  <si>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</si>
  <si>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</si>
  <si>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</si>
  <si>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</si>
  <si>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</si>
  <si>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</si>
  <si>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</si>
  <si>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</si>
  <si>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</si>
  <si>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</si>
  <si>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</si>
  <si>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</si>
  <si>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</si>
  <si>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</si>
  <si>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</si>
  <si>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</si>
  <si>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</si>
  <si>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</si>
  <si>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</si>
  <si>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</si>
  <si>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</si>
  <si>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</si>
  <si>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</si>
  <si>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</si>
  <si>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</si>
  <si>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</si>
  <si>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</si>
  <si>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</si>
  <si>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</si>
  <si>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</si>
  <si>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</si>
  <si>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</si>
  <si>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</si>
  <si>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</si>
  <si>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</si>
  <si>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</si>
  <si>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</si>
  <si>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</si>
  <si>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</si>
  <si>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</si>
  <si>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</si>
  <si>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</si>
  <si>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</si>
  <si>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</si>
  <si>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</si>
  <si>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</si>
  <si>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</si>
  <si>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</si>
  <si>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</si>
  <si>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</si>
  <si>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</si>
  <si>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</si>
  <si>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</si>
  <si>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</si>
  <si>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</si>
  <si>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</si>
  <si>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</si>
  <si>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</si>
  <si>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</si>
  <si>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</si>
  <si>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</si>
  <si>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</si>
  <si>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</si>
  <si>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</si>
  <si>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</si>
  <si>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</si>
  <si>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</si>
  <si>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</si>
  <si>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</si>
  <si>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</si>
  <si>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</si>
  <si>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</si>
  <si>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</si>
  <si>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</si>
  <si>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</si>
  <si>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</si>
  <si>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</si>
  <si>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</si>
  <si>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</si>
  <si>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</si>
  <si>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</si>
  <si>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</si>
  <si>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</si>
  <si>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</si>
  <si>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</si>
  <si>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</si>
  <si>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</si>
  <si>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</si>
  <si>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</si>
  <si>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</si>
  <si>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</si>
  <si>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</si>
  <si>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</si>
  <si>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</si>
  <si>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</si>
  <si>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</si>
  <si>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</si>
  <si>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</si>
  <si>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</si>
  <si>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</si>
  <si>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</si>
  <si>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</si>
  <si>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</si>
  <si>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</si>
  <si>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</si>
  <si>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</si>
  <si>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</si>
  <si>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</si>
  <si>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</si>
  <si>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</si>
  <si>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</si>
  <si>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</si>
  <si>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</si>
  <si>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</si>
  <si>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</si>
  <si>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</si>
  <si>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</si>
  <si>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</si>
  <si>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</si>
  <si>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</si>
  <si>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</si>
  <si>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</si>
  <si>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</si>
  <si>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</si>
  <si>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</si>
  <si>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</si>
  <si>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</si>
  <si>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</si>
  <si>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</si>
  <si>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</si>
  <si>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</si>
  <si>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</si>
  <si>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</si>
  <si>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</si>
  <si>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</si>
  <si>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</si>
  <si>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</si>
  <si>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</si>
  <si>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</si>
  <si>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</si>
  <si>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</si>
  <si>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</si>
  <si>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</si>
  <si>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</si>
  <si>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</si>
  <si>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</si>
  <si>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</si>
  <si>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</si>
  <si>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</si>
  <si>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</si>
  <si>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</si>
  <si>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</si>
  <si>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</si>
  <si>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</si>
  <si>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</si>
  <si>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</si>
  <si>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</si>
  <si>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</si>
  <si>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</si>
  <si>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</si>
  <si>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</si>
  <si>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</si>
  <si>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</si>
  <si>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</si>
  <si>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</si>
  <si>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</si>
  <si>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</si>
  <si>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</si>
  <si>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</si>
  <si>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</si>
  <si>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</si>
  <si>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</si>
  <si>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</si>
  <si>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</si>
  <si>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</si>
  <si>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</si>
  <si>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</si>
  <si>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</si>
  <si>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</si>
  <si>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</si>
  <si>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</si>
  <si>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</si>
  <si>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</si>
  <si>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</si>
  <si>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</si>
  <si>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</si>
  <si>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</si>
  <si>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</si>
  <si>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</si>
  <si>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</si>
  <si>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</si>
  <si>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</si>
  <si>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</si>
  <si>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</si>
  <si>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</si>
  <si>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</si>
  <si>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</si>
  <si>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</si>
  <si>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</si>
  <si>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</si>
  <si>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</si>
  <si>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</si>
  <si>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</si>
  <si>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</si>
  <si>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</si>
  <si>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</si>
  <si>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</si>
  <si>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</si>
  <si>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</si>
  <si>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</si>
  <si>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</si>
  <si>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</si>
  <si>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</si>
  <si>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</si>
  <si>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</si>
  <si>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</si>
  <si>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</si>
  <si>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</si>
  <si>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</si>
  <si>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</si>
  <si>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</si>
  <si>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</si>
  <si>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</si>
  <si>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</si>
  <si>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</si>
  <si>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</si>
  <si>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</si>
  <si>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</si>
  <si>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</si>
  <si>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</si>
  <si>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</si>
  <si>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</si>
  <si>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</si>
  <si>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</si>
  <si>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</si>
  <si>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</si>
  <si>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</si>
  <si>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</si>
  <si>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</si>
  <si>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</si>
  <si>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</si>
  <si>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</si>
  <si>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</si>
  <si>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</si>
  <si>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</si>
  <si>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</si>
  <si>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</si>
  <si>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</si>
  <si>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</si>
  <si>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</si>
  <si>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</si>
  <si>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</si>
  <si>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</si>
  <si>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</si>
  <si>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</si>
  <si>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</si>
  <si>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</si>
  <si>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</si>
  <si>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</si>
  <si>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</si>
  <si>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</si>
  <si>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</si>
  <si>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</si>
  <si>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</si>
  <si>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</si>
  <si>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</si>
  <si>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</si>
  <si>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</si>
  <si>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</si>
  <si>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</si>
  <si>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</si>
  <si>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</si>
  <si>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</si>
  <si>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</si>
  <si>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</si>
  <si>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</si>
  <si>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</si>
  <si>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</si>
  <si>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</si>
  <si>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</si>
  <si>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</si>
  <si>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</si>
  <si>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</si>
  <si>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</si>
  <si>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</si>
  <si>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</si>
  <si>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</si>
  <si>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</si>
  <si>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</si>
  <si>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</si>
  <si>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</si>
  <si>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</si>
  <si>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</si>
  <si>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</si>
  <si>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</si>
  <si>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</si>
  <si>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</si>
  <si>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</si>
  <si>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</si>
  <si>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</si>
  <si>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</si>
  <si>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</si>
  <si>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</si>
  <si>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</si>
  <si>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</si>
  <si>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</si>
  <si>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</si>
  <si>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</si>
  <si>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</si>
  <si>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</si>
  <si>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</si>
  <si>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</si>
  <si>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</si>
  <si>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</si>
  <si>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</si>
  <si>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</si>
  <si>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</si>
  <si>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</si>
  <si>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</si>
  <si>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</si>
  <si>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</si>
  <si>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</si>
  <si>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</si>
  <si>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</si>
  <si>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</si>
  <si>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</si>
  <si>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</si>
  <si>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</si>
  <si>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</si>
  <si>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</si>
  <si>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</si>
  <si>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</si>
  <si>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</si>
  <si>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</si>
  <si>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</si>
  <si>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</si>
  <si>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</si>
  <si>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</si>
  <si>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</si>
  <si>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</si>
  <si>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</si>
  <si>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</si>
  <si>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</si>
  <si>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</si>
  <si>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</si>
  <si>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</si>
  <si>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</si>
  <si>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</si>
  <si>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</si>
  <si>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</si>
  <si>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</si>
  <si>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</si>
  <si>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</si>
  <si>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</si>
  <si>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</si>
  <si>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</si>
  <si>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</si>
  <si>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</si>
  <si>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</si>
  <si>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</si>
  <si>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</si>
  <si>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</si>
  <si>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</si>
  <si>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</si>
  <si>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</si>
  <si>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</si>
  <si>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</si>
  <si>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</si>
  <si>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</si>
  <si>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Ouakam</t>
  </si>
  <si>
    <t>BGFI</t>
  </si>
  <si>
    <t>XXXXXXXXXXX</t>
  </si>
  <si>
    <t>DK-234-12</t>
  </si>
  <si>
    <t>Christophe Hamen</t>
  </si>
  <si>
    <t>Palais de justice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</si>
  <si>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</si>
  <si>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</si>
  <si>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</si>
  <si>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</si>
  <si>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</si>
  <si>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</si>
  <si>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</si>
  <si>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</si>
  <si>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</si>
  <si>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</si>
  <si>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</si>
  <si>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</si>
  <si>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</si>
  <si>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</si>
  <si>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</si>
  <si>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</si>
  <si>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</si>
  <si>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</si>
  <si>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</si>
  <si>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</si>
  <si>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</si>
  <si>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</si>
  <si>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</si>
  <si>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</si>
  <si>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</si>
  <si>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</si>
  <si>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</si>
  <si>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</si>
  <si>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</si>
  <si>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</si>
  <si>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</si>
  <si>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</si>
  <si>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</si>
  <si>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</si>
  <si>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</si>
  <si>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</si>
  <si>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</si>
  <si>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</si>
  <si>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</si>
  <si>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</si>
  <si>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</si>
  <si>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</si>
  <si>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</si>
  <si>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</si>
  <si>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</si>
  <si>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</si>
  <si>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</si>
  <si>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</si>
  <si>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</si>
  <si>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</si>
  <si>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</si>
  <si>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</si>
  <si>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</si>
  <si>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</si>
  <si>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</si>
  <si>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</si>
  <si>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</si>
  <si>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</si>
  <si>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</si>
  <si>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</si>
  <si>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</si>
  <si>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</si>
  <si>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</si>
  <si>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</si>
  <si>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</si>
  <si>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</si>
  <si>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</si>
  <si>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</si>
  <si>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</si>
  <si>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</si>
  <si>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</si>
  <si>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</si>
  <si>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</si>
  <si>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</si>
  <si>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</si>
  <si>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</si>
  <si>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</si>
  <si>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</si>
  <si>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</si>
  <si>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1234</t>
  </si>
  <si>
    <t>Vende de produit</t>
  </si>
  <si>
    <t>Nguema</t>
  </si>
  <si>
    <t>Steeve</t>
  </si>
  <si>
    <t>Gerant principal</t>
  </si>
  <si>
    <t>Identifiant-234001</t>
  </si>
  <si>
    <t>Dakar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</si>
  <si>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</si>
  <si>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</si>
  <si>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</si>
  <si>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</si>
  <si>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</si>
  <si>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</si>
  <si>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</si>
  <si>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</si>
  <si>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</si>
  <si>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</si>
  <si>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</si>
  <si>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</si>
  <si>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</si>
  <si>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</si>
  <si>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</si>
  <si>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</si>
  <si>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</si>
  <si>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</si>
  <si>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</si>
  <si>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</si>
  <si>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</si>
  <si>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</si>
  <si>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</si>
  <si>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</si>
  <si>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</si>
  <si>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</si>
  <si>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</si>
  <si>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</si>
  <si>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</si>
  <si>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12341</t>
  </si>
  <si>
    <t>+221788777777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</si>
  <si>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</si>
  <si>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</si>
  <si>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</si>
  <si>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</si>
  <si>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</si>
  <si>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</si>
  <si>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</si>
  <si>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</si>
  <si>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</si>
  <si>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</si>
  <si>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</si>
  <si>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</si>
  <si>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</si>
  <si>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</si>
  <si>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</si>
  <si>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</si>
  <si>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</si>
  <si>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Evaluation Only. Created with Aspose.Cells for Java. Copyright 2003 - 2024 Aspose Pty Ltd.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</si>
  <si>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</si>
  <si>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</si>
  <si>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</si>
  <si>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</si>
  <si>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</si>
  <si>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</si>
  <si>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</si>
  <si>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</si>
  <si>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</si>
  <si>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</si>
  <si>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</si>
  <si>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</si>
  <si>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</si>
  <si>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</si>
  <si>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</si>
  <si>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</si>
  <si>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</si>
  <si>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</si>
  <si>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</si>
  <si>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</si>
  <si>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</si>
  <si>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</si>
  <si>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</si>
  <si>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</si>
  <si>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</si>
  <si>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</si>
  <si>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</si>
  <si>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</si>
  <si>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</si>
  <si>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</si>
  <si>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</si>
  <si>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</si>
  <si>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</si>
  <si>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</si>
  <si>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</si>
  <si>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</si>
  <si>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</si>
  <si>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</si>
  <si>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</si>
  <si>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</si>
  <si>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</si>
  <si>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</si>
  <si>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</si>
  <si>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</si>
  <si>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</si>
  <si>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</si>
  <si>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</si>
  <si>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</si>
  <si>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</si>
  <si>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</si>
  <si>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</si>
  <si>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</si>
  <si>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</si>
  <si>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</si>
  <si>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</si>
  <si>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</si>
  <si>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</si>
  <si>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</si>
  <si>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</si>
  <si>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</si>
  <si>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</si>
  <si>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</si>
  <si>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</si>
  <si>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</si>
  <si>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</si>
  <si>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</si>
  <si>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</si>
  <si>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</si>
  <si>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</si>
  <si>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</si>
  <si>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</si>
  <si>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</si>
  <si>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</si>
  <si>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</si>
  <si>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</si>
  <si>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</si>
  <si>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</si>
  <si>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</si>
  <si>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</si>
  <si>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</si>
  <si>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</si>
  <si>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</si>
  <si>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</si>
  <si>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</si>
  <si>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</si>
  <si>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</si>
  <si>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</si>
  <si>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</si>
  <si>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</si>
  <si>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</si>
  <si>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</si>
  <si>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</si>
  <si>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</si>
  <si>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</si>
  <si>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</si>
  <si>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</si>
  <si>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</si>
  <si>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</si>
  <si>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</si>
  <si>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</si>
  <si>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</si>
  <si>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</si>
  <si>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</si>
  <si>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</si>
  <si>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</si>
  <si>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</si>
  <si>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</si>
  <si>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</si>
  <si>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</si>
  <si>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</si>
  <si>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</si>
  <si>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</si>
  <si>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</si>
  <si>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</si>
  <si>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</si>
  <si>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</si>
  <si>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</si>
  <si>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</si>
  <si>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</si>
  <si>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</si>
  <si>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</si>
  <si>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</si>
  <si>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</si>
  <si>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</si>
  <si>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</si>
  <si>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</si>
  <si>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</si>
  <si>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</si>
  <si>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</si>
  <si>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</si>
  <si>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</si>
  <si>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</si>
  <si>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</si>
  <si>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</si>
  <si>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</si>
  <si>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</si>
  <si>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</si>
  <si>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</si>
  <si>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</si>
  <si>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</si>
  <si>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</si>
  <si>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</si>
  <si>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</si>
  <si>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</si>
  <si>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</si>
  <si>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</si>
  <si>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</si>
  <si>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</si>
  <si>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</si>
  <si>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</si>
  <si>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</si>
  <si>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</si>
  <si>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</si>
  <si>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</si>
  <si>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</si>
  <si>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</si>
  <si>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</si>
  <si>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</si>
  <si>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</si>
  <si>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</si>
  <si>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</si>
  <si>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</si>
  <si>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</si>
  <si>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</si>
  <si>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</si>
  <si>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</si>
  <si>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</si>
  <si>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</si>
  <si>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</si>
  <si>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</si>
  <si>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</si>
  <si>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</si>
  <si>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</si>
  <si>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</si>
  <si>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</si>
  <si>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</si>
  <si>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</si>
  <si>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</si>
  <si>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</si>
  <si>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</si>
  <si>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</si>
  <si>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</si>
  <si>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</si>
  <si>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</si>
  <si>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</si>
  <si>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</si>
  <si>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</si>
  <si>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</si>
  <si>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</si>
  <si>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</si>
  <si>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</si>
  <si>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</si>
  <si>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</si>
  <si>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</si>
  <si>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</si>
  <si>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</si>
  <si>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</si>
  <si>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</si>
  <si>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</si>
  <si>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</si>
  <si>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</si>
  <si>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</si>
  <si>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</si>
  <si>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</si>
  <si>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</si>
  <si>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</si>
  <si>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</si>
  <si>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</si>
  <si>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</si>
  <si>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</si>
  <si>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</si>
  <si>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</si>
  <si>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</si>
  <si>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</si>
  <si>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</si>
  <si>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</si>
  <si>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</si>
  <si>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</si>
  <si>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</si>
  <si>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</si>
  <si>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</si>
  <si>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</si>
  <si>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</si>
  <si>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</si>
  <si>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</si>
  <si>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</si>
  <si>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</si>
  <si>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</si>
  <si>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</si>
  <si>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</si>
  <si>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</si>
  <si>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</si>
  <si>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</si>
  <si>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</si>
  <si>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</si>
  <si>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</si>
  <si>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</si>
  <si>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</si>
  <si>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</si>
  <si>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</si>
  <si>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</si>
  <si>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</si>
  <si>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</si>
  <si>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</si>
  <si>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</si>
  <si>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</si>
  <si>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</si>
  <si>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</si>
  <si>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</si>
  <si>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</si>
  <si>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</si>
  <si>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</si>
  <si>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</si>
  <si>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</si>
  <si>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</si>
  <si>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</si>
  <si>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</si>
  <si>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</si>
  <si>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</si>
  <si>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</si>
  <si>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</si>
  <si>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</si>
  <si>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</si>
  <si>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</si>
  <si>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</si>
  <si>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</si>
  <si>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</si>
  <si>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</si>
  <si>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</si>
  <si>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</si>
  <si>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</si>
  <si>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</si>
  <si>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</si>
  <si>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</si>
  <si>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</si>
  <si>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</si>
  <si>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</si>
  <si>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</si>
  <si>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</si>
  <si>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</si>
  <si>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</si>
  <si>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</si>
  <si>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</si>
  <si>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</si>
  <si>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</si>
  <si>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</si>
  <si>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</si>
  <si>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</si>
  <si>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</si>
  <si>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</si>
  <si>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</si>
  <si>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</si>
  <si>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</si>
  <si>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</si>
  <si>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</si>
  <si>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</si>
  <si>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</si>
  <si>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</si>
  <si>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</si>
  <si>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</si>
  <si>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</si>
  <si>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</si>
  <si>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</si>
  <si>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</si>
  <si>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</si>
  <si>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</si>
  <si>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</si>
  <si>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</si>
  <si>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</si>
  <si>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</si>
  <si>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</si>
  <si>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</si>
  <si>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</si>
  <si>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</si>
  <si>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</si>
  <si>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</si>
  <si>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</si>
  <si>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</si>
  <si>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</si>
  <si>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</si>
  <si>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</si>
  <si>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</si>
  <si>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</si>
  <si>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</si>
  <si>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</si>
  <si>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</si>
  <si>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</si>
  <si>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</si>
  <si>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</si>
  <si>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</si>
  <si>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</si>
  <si>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</si>
  <si>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</si>
  <si>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</si>
  <si>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</si>
  <si>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</si>
  <si>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</si>
  <si>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</si>
  <si>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</si>
  <si>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</si>
  <si>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</si>
  <si>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</si>
  <si>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</si>
  <si>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Africa 45</t>
  </si>
  <si>
    <t>AFCOLD</t>
  </si>
  <si>
    <t>Almadis, Hopital magnetica</t>
  </si>
  <si>
    <t>Identifiant-123-4fr2</t>
  </si>
  <si>
    <t>test</t>
  </si>
  <si>
    <t>1234013</t>
  </si>
  <si>
    <t>435D3</t>
  </si>
  <si>
    <t>CMLde</t>
  </si>
  <si>
    <t>africacold@gmail.com</t>
  </si>
  <si>
    <t>01</t>
  </si>
  <si>
    <t>5</t>
  </si>
  <si>
    <t>2</t>
  </si>
  <si>
    <t>0</t>
  </si>
  <si>
    <t>1</t>
  </si>
  <si>
    <t>7</t>
  </si>
  <si>
    <t>3</t>
  </si>
  <si>
    <t>=SIERREUR(RECHERCHEV("702200";'BAL N'!A:H;8;FAUX);SIERREUR(RECHERCHEV(702200;'BAL N'!A:H;8;FAUX);0))</t>
  </si>
  <si>
    <t>Test Autre</t>
  </si>
  <si>
    <t xml:space="preserve">Directeur </t>
  </si>
  <si>
    <t>MAROTTA Eduardo</t>
  </si>
  <si>
    <t>Italienne</t>
  </si>
  <si>
    <t>Here is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</si>
</sst>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859988689423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8600035905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32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869999289512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73" Type="http://schemas.openxmlformats.org/officeDocument/2006/relationships/customXml" Target="../customXml/item1.xml" /><Relationship Id="rId72" Type="http://schemas.openxmlformats.org/officeDocument/2006/relationships/sharedStrings" Target="sharedStrings.xml" /><Relationship Id="rId31" Type="http://schemas.openxmlformats.org/officeDocument/2006/relationships/worksheet" Target="worksheets/sheet29.xml" /><Relationship Id="rId75" Type="http://schemas.openxmlformats.org/officeDocument/2006/relationships/customXml" Target="../customXml/item3.xml" /><Relationship Id="rId30" Type="http://schemas.openxmlformats.org/officeDocument/2006/relationships/worksheet" Target="worksheets/sheet28.xml" /><Relationship Id="rId74" Type="http://schemas.openxmlformats.org/officeDocument/2006/relationships/customXml" Target="../customXml/item2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76" Type="http://schemas.openxmlformats.org/officeDocument/2006/relationships/calcChain" Target="calcChain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71" Type="http://schemas.openxmlformats.org/officeDocument/2006/relationships/worksheet" Target="worksheets/sheet69.xml" /><Relationship Id="rId70" Type="http://schemas.openxmlformats.org/officeDocument/2006/relationships/worksheet" Target="worksheets/sheet68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worksheet" Target="worksheets/sheet60.xml" /><Relationship Id="rId61" Type="http://schemas.openxmlformats.org/officeDocument/2006/relationships/worksheet" Target="worksheets/sheet59.xml" /><Relationship Id="rId20" Type="http://schemas.openxmlformats.org/officeDocument/2006/relationships/worksheet" Target="worksheets/sheet18.xml" /><Relationship Id="rId64" Type="http://schemas.openxmlformats.org/officeDocument/2006/relationships/worksheet" Target="worksheets/sheet62.xml" /><Relationship Id="rId63" Type="http://schemas.openxmlformats.org/officeDocument/2006/relationships/worksheet" Target="worksheets/sheet61.xml" /><Relationship Id="rId22" Type="http://schemas.openxmlformats.org/officeDocument/2006/relationships/worksheet" Target="worksheets/sheet20.xml" /><Relationship Id="rId66" Type="http://schemas.openxmlformats.org/officeDocument/2006/relationships/worksheet" Target="worksheets/sheet64.xml" /><Relationship Id="rId21" Type="http://schemas.openxmlformats.org/officeDocument/2006/relationships/worksheet" Target="worksheets/sheet19.xml" /><Relationship Id="rId65" Type="http://schemas.openxmlformats.org/officeDocument/2006/relationships/worksheet" Target="worksheets/sheet63.xml" /><Relationship Id="rId24" Type="http://schemas.openxmlformats.org/officeDocument/2006/relationships/worksheet" Target="worksheets/sheet22.xml" /><Relationship Id="rId68" Type="http://schemas.openxmlformats.org/officeDocument/2006/relationships/worksheet" Target="worksheets/sheet66.xml" /><Relationship Id="rId23" Type="http://schemas.openxmlformats.org/officeDocument/2006/relationships/worksheet" Target="worksheets/sheet21.xml" /><Relationship Id="rId67" Type="http://schemas.openxmlformats.org/officeDocument/2006/relationships/worksheet" Target="worksheets/sheet65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69" Type="http://schemas.openxmlformats.org/officeDocument/2006/relationships/worksheet" Target="worksheets/sheet67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>
        <v>44561</v>
      </c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 t="s">
        <v>1881</v>
      </c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 t="s">
        <v>1882</v>
      </c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 t="s">
        <v>1883</v>
      </c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 t="s">
        <v>1884</v>
      </c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 t="str">
        <f>+'Page de garde'!L35</f>
        <v>Africa 45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 t="str">
        <f>'Page de garde'!J46</f>
        <v>Almadis, Hopital magnetica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 t="str">
        <f>+'Page de garde'!H41</f>
        <v>AFCOLD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 t="str">
        <f>'Page de garde'!N51</f>
        <v>Identifiant-123-4fr2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44561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44197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44561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44561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44196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1885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1886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 t="s">
        <v>1887</v>
      </c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 t="s">
        <v>1888</v>
      </c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 t="str">
        <f>+J4</f>
        <v>Africa 45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 t="str">
        <f>+AD7</f>
        <v>AFCOLD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1889</v>
      </c>
      <c r="R36" s="968"/>
      <c r="S36" s="968"/>
      <c r="T36" s="968"/>
      <c r="U36" s="968"/>
      <c r="V36" s="969"/>
      <c r="W36" s="95"/>
      <c r="X36" s="120"/>
      <c r="Y36" s="976" t="s">
        <v>1890</v>
      </c>
      <c r="Z36" s="969"/>
      <c r="AA36" s="967" t="s">
        <v>1891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1883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1401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 t="s">
        <v>1398</v>
      </c>
      <c r="U72" s="929"/>
      <c r="V72" s="929"/>
      <c r="W72" s="929"/>
      <c r="X72" s="929"/>
      <c r="Y72" s="929"/>
      <c r="Z72" s="929"/>
      <c r="AA72" s="929"/>
      <c r="AB72" s="929"/>
      <c r="AC72" s="930"/>
      <c r="AD72" s="953" t="s">
        <v>1482</v>
      </c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1538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1540</v>
      </c>
      <c r="B3" s="783" t="s">
        <v>1541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1543</v>
      </c>
      <c r="B4" s="783" t="s">
        <v>1544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1545</v>
      </c>
      <c r="B5" s="783" t="s">
        <v>1546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1548</v>
      </c>
      <c r="B6" s="783" t="s">
        <v>1549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1550</v>
      </c>
      <c r="B7" s="783" t="s">
        <v>1551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1552</v>
      </c>
      <c r="B8" s="783" t="s">
        <v>1553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1554</v>
      </c>
      <c r="B9" s="783" t="s">
        <v>1556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1555</v>
      </c>
      <c r="B10" s="783" t="s">
        <v>1557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1558</v>
      </c>
      <c r="B11" s="783" t="s">
        <v>1561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1560</v>
      </c>
      <c r="B12" s="783" t="s">
        <v>1562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1563</v>
      </c>
      <c r="B13" s="783" t="s">
        <v>1566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1565</v>
      </c>
      <c r="B14" s="783" t="s">
        <v>1569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1568</v>
      </c>
      <c r="B15" s="783" t="s">
        <v>1572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1574</v>
      </c>
      <c r="B16" s="783" t="s">
        <v>1576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1575</v>
      </c>
      <c r="B17" s="783" t="s">
        <v>1579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1578</v>
      </c>
      <c r="B18" s="783" t="s">
        <v>1582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1581</v>
      </c>
      <c r="B19" s="783" t="s">
        <v>1583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1584</v>
      </c>
      <c r="B20" s="783" t="s">
        <v>1585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1588</v>
      </c>
      <c r="B21" s="783" t="s">
        <v>1590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1586</v>
      </c>
      <c r="B22" s="783" t="s">
        <v>1593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1589</v>
      </c>
      <c r="B23" s="783" t="s">
        <v>1591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1592</v>
      </c>
      <c r="B24" s="783" t="s">
        <v>1598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1600</v>
      </c>
      <c r="B25" s="783" t="s">
        <v>1602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1604</v>
      </c>
      <c r="B26" s="783" t="s">
        <v>1606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1595</v>
      </c>
      <c r="B27" s="783" t="s">
        <v>1609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1597</v>
      </c>
      <c r="B28" s="783" t="s">
        <v>1599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1601</v>
      </c>
      <c r="B29" s="783" t="s">
        <v>1614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1605</v>
      </c>
      <c r="B30" s="783" t="s">
        <v>1607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1608</v>
      </c>
      <c r="B31" s="783" t="s">
        <v>1619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1621</v>
      </c>
      <c r="B32" s="783" t="s">
        <v>1623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1613</v>
      </c>
      <c r="B33" s="783" t="s">
        <v>1626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1616</v>
      </c>
      <c r="B34" s="783" t="s">
        <v>1629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1618</v>
      </c>
      <c r="B35" s="783" t="s">
        <v>1632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1622</v>
      </c>
      <c r="B36" s="783" t="s">
        <v>1635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1625</v>
      </c>
      <c r="B37" s="783" t="s">
        <v>1638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1628</v>
      </c>
      <c r="B38" s="783" t="s">
        <v>1641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1631</v>
      </c>
      <c r="B39" s="783" t="s">
        <v>1633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1645</v>
      </c>
      <c r="B40" s="783" t="s">
        <v>1647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1634</v>
      </c>
      <c r="B41" s="783" t="s">
        <v>1649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1637</v>
      </c>
      <c r="B42" s="783" t="s">
        <v>1652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1640</v>
      </c>
      <c r="B43" s="783" t="s">
        <v>1655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1646</v>
      </c>
      <c r="B44" s="783" t="s">
        <v>1658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1660</v>
      </c>
      <c r="B45" s="783" t="s">
        <v>1662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1651</v>
      </c>
      <c r="B46" s="783" t="s">
        <v>1665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1654</v>
      </c>
      <c r="B47" s="783" t="s">
        <v>1668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1657</v>
      </c>
      <c r="B48" s="783" t="s">
        <v>1671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1661</v>
      </c>
      <c r="B49" s="783" t="s">
        <v>1674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1676</v>
      </c>
      <c r="B50" s="783" t="s">
        <v>1678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1664</v>
      </c>
      <c r="B51" s="783" t="s">
        <v>1681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1667</v>
      </c>
      <c r="B52" s="783" t="s">
        <v>1684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1670</v>
      </c>
      <c r="B53" s="783" t="s">
        <v>1687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1689</v>
      </c>
      <c r="B54" s="783" t="s">
        <v>1691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1673</v>
      </c>
      <c r="B55" s="783" t="s">
        <v>1694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1677</v>
      </c>
      <c r="B56" s="783" t="s">
        <v>1697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1680</v>
      </c>
      <c r="B57" s="783" t="s">
        <v>1682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1683</v>
      </c>
      <c r="B58" s="783" t="s">
        <v>1702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1704</v>
      </c>
      <c r="B59" s="783" t="s">
        <v>1706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1686</v>
      </c>
      <c r="B60" s="783" t="s">
        <v>1688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1690</v>
      </c>
      <c r="B61" s="783" t="s">
        <v>1692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1693</v>
      </c>
      <c r="B62" s="783" t="s">
        <v>1695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1696</v>
      </c>
      <c r="B63" s="783" t="s">
        <v>1715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1717</v>
      </c>
      <c r="B64" s="783" t="s">
        <v>1719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1701</v>
      </c>
      <c r="B65" s="783" t="s">
        <v>1703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1705</v>
      </c>
      <c r="B66" s="783" t="s">
        <v>1707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1708</v>
      </c>
      <c r="B67" s="783" t="s">
        <v>1709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1710</v>
      </c>
      <c r="B68" s="783" t="s">
        <v>1728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1712</v>
      </c>
      <c r="B69" s="783" t="s">
        <v>1731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1718</v>
      </c>
      <c r="B70" s="783" t="s">
        <v>1734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1736</v>
      </c>
      <c r="B71" s="783" t="s">
        <v>1738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1721</v>
      </c>
      <c r="B72" s="783" t="s">
        <v>1722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1723</v>
      </c>
      <c r="B73" s="783" t="s">
        <v>1724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1725</v>
      </c>
      <c r="B74" s="783" t="s">
        <v>1745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1747</v>
      </c>
      <c r="B75" s="783" t="s">
        <v>1749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1727</v>
      </c>
      <c r="B76" s="783" t="s">
        <v>1752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1730</v>
      </c>
      <c r="B77" s="783" t="s">
        <v>1755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1733</v>
      </c>
      <c r="B78" s="783" t="s">
        <v>1735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1759</v>
      </c>
      <c r="B79" s="783" t="s">
        <v>1761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1737</v>
      </c>
      <c r="B80" s="783" t="s">
        <v>1764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1740</v>
      </c>
      <c r="B81" s="783" t="s">
        <v>1767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1742</v>
      </c>
      <c r="B82" s="783" t="s">
        <v>1770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1772</v>
      </c>
      <c r="B83" s="783" t="s">
        <v>1774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1744</v>
      </c>
      <c r="B84" s="783" t="s">
        <v>1746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1748</v>
      </c>
      <c r="B85" s="783" t="s">
        <v>1779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1751</v>
      </c>
      <c r="B86" s="783" t="s">
        <v>1753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1783</v>
      </c>
      <c r="B87" s="783" t="s">
        <v>1785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1754</v>
      </c>
      <c r="B88" s="783" t="s">
        <v>1756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1757</v>
      </c>
      <c r="B89" s="783" t="s">
        <v>1758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1760</v>
      </c>
      <c r="B90" s="783" t="s">
        <v>1791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1763</v>
      </c>
      <c r="B91" s="783" t="s">
        <v>1765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1766</v>
      </c>
      <c r="B92" s="783" t="s">
        <v>1796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1798</v>
      </c>
      <c r="B93" s="783" t="s">
        <v>1800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1773</v>
      </c>
      <c r="B94" s="783" t="s">
        <v>1803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1776</v>
      </c>
      <c r="B95" s="783" t="s">
        <v>1806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1808</v>
      </c>
      <c r="B96" s="783" t="s">
        <v>1810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1778</v>
      </c>
      <c r="B97" s="783" t="s">
        <v>1813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1786</v>
      </c>
      <c r="B98" s="783" t="s">
        <v>1816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1788</v>
      </c>
      <c r="B99" s="783" t="s">
        <v>1789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1820</v>
      </c>
      <c r="B100" s="783" t="s">
        <v>1822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1790</v>
      </c>
      <c r="B101" s="783" t="s">
        <v>1825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1793</v>
      </c>
      <c r="B102" s="783" t="s">
        <v>1794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1829</v>
      </c>
      <c r="B103" s="783" t="s">
        <v>1831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1795</v>
      </c>
      <c r="B104" s="783" t="s">
        <v>1834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1836</v>
      </c>
      <c r="B105" s="783" t="s">
        <v>1797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1799</v>
      </c>
      <c r="B106" s="783" t="s">
        <v>1801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1802</v>
      </c>
      <c r="B107" s="783" t="s">
        <v>1804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1843</v>
      </c>
      <c r="B108" s="783" t="s">
        <v>1845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1847</v>
      </c>
      <c r="B109" s="783" t="s">
        <v>1849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1851</v>
      </c>
      <c r="B110" s="783" t="s">
        <v>1853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1815</v>
      </c>
      <c r="B111" s="783" t="s">
        <v>1856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1818</v>
      </c>
      <c r="B112" s="783" t="s">
        <v>1819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1860</v>
      </c>
      <c r="B113" s="783" t="s">
        <v>1861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1821</v>
      </c>
      <c r="B114" s="783" t="s">
        <v>1862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1863</v>
      </c>
      <c r="B115" s="783" t="s">
        <v>1864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1865</v>
      </c>
      <c r="B116" s="783" t="s">
        <v>1866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1867</v>
      </c>
      <c r="B117" s="783" t="s">
        <v>1868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1824</v>
      </c>
      <c r="B118" s="783" t="s">
        <v>1826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1869</v>
      </c>
      <c r="B119" s="783" t="s">
        <v>1870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1827</v>
      </c>
      <c r="B120" s="783" t="s">
        <v>1871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1830</v>
      </c>
      <c r="B121" s="783" t="s">
        <v>1832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1837</v>
      </c>
      <c r="B122" s="783" t="s">
        <v>1838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1872</v>
      </c>
      <c r="B123" s="783" t="s">
        <v>1873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1874</v>
      </c>
      <c r="B124" s="783" t="s">
        <v>1875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1844</v>
      </c>
      <c r="B125" s="783" t="s">
        <v>1876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1848</v>
      </c>
      <c r="B126" s="783" t="s">
        <v>1877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1852</v>
      </c>
      <c r="B127" s="783" t="s">
        <v>1878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1855</v>
      </c>
      <c r="B128" s="783" t="s">
        <v>1879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1858</v>
      </c>
      <c r="B129" s="783" t="s">
        <v>1880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1538</v>
      </c>
      <c r="B2" s="795" t="s">
        <v>1539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1540</v>
      </c>
      <c r="B3" s="795" t="s">
        <v>1542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1543</v>
      </c>
      <c r="B4" s="795" t="s">
        <v>1544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1545</v>
      </c>
      <c r="B5" s="795" t="s">
        <v>1547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1548</v>
      </c>
      <c r="B6" s="795" t="s">
        <v>1549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1550</v>
      </c>
      <c r="B7" s="795" t="s">
        <v>1551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1552</v>
      </c>
      <c r="B8" s="795" t="s">
        <v>1553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1555</v>
      </c>
      <c r="B9" s="795" t="s">
        <v>1557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1558</v>
      </c>
      <c r="B10" s="795" t="s">
        <v>1559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1560</v>
      </c>
      <c r="B11" s="795" t="s">
        <v>1562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1563</v>
      </c>
      <c r="B12" s="795" t="s">
        <v>1564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1565</v>
      </c>
      <c r="B13" s="795" t="s">
        <v>1567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1568</v>
      </c>
      <c r="B14" s="795" t="s">
        <v>1570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1571</v>
      </c>
      <c r="B15" s="795" t="s">
        <v>1573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1575</v>
      </c>
      <c r="B16" s="795" t="s">
        <v>1577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1578</v>
      </c>
      <c r="B17" s="795" t="s">
        <v>1580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1581</v>
      </c>
      <c r="B18" s="795" t="s">
        <v>1583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1584</v>
      </c>
      <c r="B19" s="795" t="s">
        <v>1585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1586</v>
      </c>
      <c r="B20" s="795" t="s">
        <v>1587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1589</v>
      </c>
      <c r="B21" s="795" t="s">
        <v>1591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1592</v>
      </c>
      <c r="B22" s="795" t="s">
        <v>1594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1595</v>
      </c>
      <c r="B23" s="795" t="s">
        <v>1596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1597</v>
      </c>
      <c r="B24" s="795" t="s">
        <v>1599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1601</v>
      </c>
      <c r="B25" s="795" t="s">
        <v>1603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1605</v>
      </c>
      <c r="B26" s="795" t="s">
        <v>1607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1608</v>
      </c>
      <c r="B27" s="795" t="s">
        <v>1610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1611</v>
      </c>
      <c r="B28" s="795" t="s">
        <v>1612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1613</v>
      </c>
      <c r="B29" s="795" t="s">
        <v>1615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1616</v>
      </c>
      <c r="B30" s="795" t="s">
        <v>1617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1618</v>
      </c>
      <c r="B31" s="795" t="s">
        <v>1620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1622</v>
      </c>
      <c r="B32" s="795" t="s">
        <v>1624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1625</v>
      </c>
      <c r="B33" s="795" t="s">
        <v>1627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1628</v>
      </c>
      <c r="B34" s="795" t="s">
        <v>1630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1631</v>
      </c>
      <c r="B35" s="795" t="s">
        <v>1633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1634</v>
      </c>
      <c r="B36" s="795" t="s">
        <v>1636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1637</v>
      </c>
      <c r="B37" s="795" t="s">
        <v>1639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1640</v>
      </c>
      <c r="B38" s="795" t="s">
        <v>1642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1643</v>
      </c>
      <c r="B39" s="795" t="s">
        <v>1644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1646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1648</v>
      </c>
      <c r="B41" s="795" t="s">
        <v>1650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1651</v>
      </c>
      <c r="B42" s="795" t="s">
        <v>1653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1654</v>
      </c>
      <c r="B43" s="795" t="s">
        <v>1656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1657</v>
      </c>
      <c r="B44" s="795" t="s">
        <v>1659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1661</v>
      </c>
      <c r="B45" s="795" t="s">
        <v>1663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1664</v>
      </c>
      <c r="B46" s="795" t="s">
        <v>1666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1667</v>
      </c>
      <c r="B47" s="795" t="s">
        <v>1669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1670</v>
      </c>
      <c r="B48" s="795" t="s">
        <v>1672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1673</v>
      </c>
      <c r="B49" s="795" t="s">
        <v>1675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1677</v>
      </c>
      <c r="B50" s="795" t="s">
        <v>1679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1680</v>
      </c>
      <c r="B51" s="795" t="s">
        <v>1682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1683</v>
      </c>
      <c r="B52" s="795" t="s">
        <v>1685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1686</v>
      </c>
      <c r="B53" s="795" t="s">
        <v>1688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1690</v>
      </c>
      <c r="B54" s="795" t="s">
        <v>1692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1693</v>
      </c>
      <c r="B55" s="795" t="s">
        <v>1695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1696</v>
      </c>
      <c r="B56" s="795" t="s">
        <v>1698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1699</v>
      </c>
      <c r="B57" s="795" t="s">
        <v>1700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1701</v>
      </c>
      <c r="B58" s="795" t="s">
        <v>1703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1705</v>
      </c>
      <c r="B59" s="795" t="s">
        <v>1707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1708</v>
      </c>
      <c r="B60" s="795" t="s">
        <v>1709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1710</v>
      </c>
      <c r="B61" s="795" t="s">
        <v>1711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1712</v>
      </c>
      <c r="B62" s="795" t="s">
        <v>1713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1714</v>
      </c>
      <c r="B63" s="795" t="s">
        <v>1716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1718</v>
      </c>
      <c r="B64" s="795" t="s">
        <v>1720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1721</v>
      </c>
      <c r="B65" s="795" t="s">
        <v>1722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1723</v>
      </c>
      <c r="B66" s="795" t="s">
        <v>1724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1725</v>
      </c>
      <c r="B67" s="795" t="s">
        <v>1726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1727</v>
      </c>
      <c r="B68" s="795" t="s">
        <v>1729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1730</v>
      </c>
      <c r="B69" s="795" t="s">
        <v>1732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1733</v>
      </c>
      <c r="B70" s="795" t="s">
        <v>1735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1737</v>
      </c>
      <c r="B71" s="795" t="s">
        <v>1739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1740</v>
      </c>
      <c r="B72" s="795" t="s">
        <v>1741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1742</v>
      </c>
      <c r="B73" s="795" t="s">
        <v>1743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1744</v>
      </c>
      <c r="B74" s="795" t="s">
        <v>1746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1748</v>
      </c>
      <c r="B75" s="795" t="s">
        <v>1750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1751</v>
      </c>
      <c r="B76" s="795" t="s">
        <v>1753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1754</v>
      </c>
      <c r="B77" s="795" t="s">
        <v>1756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1757</v>
      </c>
      <c r="B78" s="795" t="s">
        <v>1758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1760</v>
      </c>
      <c r="B79" s="795" t="s">
        <v>1762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1763</v>
      </c>
      <c r="B80" s="795" t="s">
        <v>1765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1766</v>
      </c>
      <c r="B81" s="795" t="s">
        <v>1768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1769</v>
      </c>
      <c r="B82" s="795" t="s">
        <v>1771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1773</v>
      </c>
      <c r="B83" s="795" t="s">
        <v>1775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1776</v>
      </c>
      <c r="B84" s="795" t="s">
        <v>1777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1778</v>
      </c>
      <c r="B85" s="795" t="s">
        <v>1780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1781</v>
      </c>
      <c r="B86" s="795" t="s">
        <v>1782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1784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1786</v>
      </c>
      <c r="B88" s="795" t="s">
        <v>1787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1788</v>
      </c>
      <c r="B89" s="795" t="s">
        <v>1789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1790</v>
      </c>
      <c r="B90" s="795" t="s">
        <v>1792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1793</v>
      </c>
      <c r="B91" s="795" t="s">
        <v>1794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1795</v>
      </c>
      <c r="B92" s="795" t="s">
        <v>1797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1799</v>
      </c>
      <c r="B93" s="795" t="s">
        <v>1801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1802</v>
      </c>
      <c r="B94" s="795" t="s">
        <v>1804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1805</v>
      </c>
      <c r="B95" s="795" t="s">
        <v>1807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1809</v>
      </c>
      <c r="B96" s="795" t="s">
        <v>1811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1812</v>
      </c>
      <c r="B97" s="795" t="s">
        <v>1814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1815</v>
      </c>
      <c r="B98" s="795" t="s">
        <v>1817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1818</v>
      </c>
      <c r="B99" s="795" t="s">
        <v>1819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1821</v>
      </c>
      <c r="B100" s="795" t="s">
        <v>1823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1824</v>
      </c>
      <c r="B101" s="795" t="s">
        <v>1826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1827</v>
      </c>
      <c r="B102" s="795" t="s">
        <v>1828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1830</v>
      </c>
      <c r="B103" s="795" t="s">
        <v>1832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1833</v>
      </c>
      <c r="B104" s="795" t="s">
        <v>1835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1837</v>
      </c>
      <c r="B105" s="795" t="s">
        <v>1838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1839</v>
      </c>
      <c r="B106" s="795" t="s">
        <v>1840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1841</v>
      </c>
      <c r="B107" s="795" t="s">
        <v>1842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1844</v>
      </c>
      <c r="B108" s="795" t="s">
        <v>1846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1848</v>
      </c>
      <c r="B109" s="795" t="s">
        <v>1850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1852</v>
      </c>
      <c r="B110" s="795" t="s">
        <v>1854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1855</v>
      </c>
      <c r="B111" s="795" t="s">
        <v>1857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1858</v>
      </c>
      <c r="B112" s="795" t="s">
        <v>1859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 t="str">
        <f>'Fiche de renseignement R1'!$J$4</f>
        <v>Africa 45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 t="str">
        <f>'Fiche de renseignement R1'!J7</f>
        <v>Almadis, Hopital magnetica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 t="str">
        <f>'Fiche de renseignement R1'!AD7</f>
        <v>AFCOLD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 t="str">
        <f>+'Fiche de renseignement R1'!J10</f>
        <v>Identifiant-123-4fr2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44561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 t="s">
        <v>1892</v>
      </c>
      <c r="G14" s="106" t="s">
        <v>1893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 t="s">
        <v>16</v>
      </c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 t="s">
        <v>1894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 t="s">
        <v>1892</v>
      </c>
      <c r="G18" s="106" t="s">
        <v>1893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 t="s">
        <v>16</v>
      </c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 t="s">
        <v>1894</v>
      </c>
      <c r="G20" s="106" t="s">
        <v>1893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 t="s">
        <v>1895</v>
      </c>
      <c r="G22" s="106" t="s">
        <v>1893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 t="s">
        <v>1892</v>
      </c>
      <c r="F25" s="111" t="s">
        <v>1893</v>
      </c>
      <c r="G25" s="111" t="s">
        <v>1892</v>
      </c>
      <c r="H25" s="111" t="s">
        <v>1896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 t="s">
        <v>1896</v>
      </c>
      <c r="E33" s="490" t="s">
        <v>1893</v>
      </c>
      <c r="F33" s="490" t="s">
        <v>1893</v>
      </c>
      <c r="G33" s="490" t="s">
        <v>1893</v>
      </c>
      <c r="H33" s="490" t="s">
        <v>1892</v>
      </c>
      <c r="I33" s="490" t="s">
        <v>1893</v>
      </c>
      <c r="J33" s="126"/>
      <c r="K33" s="108"/>
      <c r="L33" s="127" t="s">
        <v>1897</v>
      </c>
      <c r="M33" s="128">
        <f>IFERROR(+L33/$L$59,0)</f>
        <v>0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 t="s">
        <v>1898</v>
      </c>
      <c r="C36" s="129"/>
      <c r="D36" s="125" t="s">
        <v>1894</v>
      </c>
      <c r="E36" s="125" t="s">
        <v>1893</v>
      </c>
      <c r="F36" s="125" t="s">
        <v>1893</v>
      </c>
      <c r="G36" s="125" t="s">
        <v>1893</v>
      </c>
      <c r="H36" s="125" t="s">
        <v>1896</v>
      </c>
      <c r="I36" s="125" t="s">
        <v>1893</v>
      </c>
      <c r="J36" s="130"/>
      <c r="K36" s="108"/>
      <c r="L36" s="105" t="s">
        <v>1897</v>
      </c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0</v>
      </c>
      <c r="M59" s="687">
        <f>SUM(M32:M57)</f>
        <v>0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 t="str">
        <f>'Fiche de renseignement R1'!$J$4</f>
        <v>Africa 45</v>
      </c>
      <c r="C3" s="990"/>
      <c r="D3" s="990"/>
      <c r="E3" s="990"/>
      <c r="F3" s="990"/>
    </row>
    <row r="4" spans="1:6" ht="17.1" customHeight="1">
      <c r="A4" s="138" t="s">
        <v>27</v>
      </c>
      <c r="B4" s="1007" t="str">
        <f>'Activités de l''entreprise R2'!B6</f>
        <v>Almadis, Hopital magnetica</v>
      </c>
      <c r="C4" s="1025"/>
      <c r="D4" s="140" t="s">
        <v>28</v>
      </c>
      <c r="E4" s="141" t="str">
        <f>'Activités de l''entreprise R2'!M6</f>
        <v>AFCOLD</v>
      </c>
      <c r="F4" s="142"/>
    </row>
    <row r="5" spans="1:6" ht="16.2" customHeight="1">
      <c r="A5" s="138" t="s">
        <v>110</v>
      </c>
      <c r="B5" s="141" t="str">
        <f>'Activités de l''entreprise R2'!B8</f>
        <v>Identifiant-123-4fr2</v>
      </c>
      <c r="C5" s="143" t="s">
        <v>29</v>
      </c>
      <c r="D5" s="310">
        <f>'Activités de l''entreprise R2'!K8</f>
        <v>44561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 t="s">
        <v>1484</v>
      </c>
      <c r="B32" s="121" t="s">
        <v>1485</v>
      </c>
      <c r="C32" s="1029" t="s">
        <v>1899</v>
      </c>
      <c r="D32" s="1030" t="s">
        <v>1488</v>
      </c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 t="str">
        <f>'Fiche de renseignement R1'!$J$4</f>
        <v>Africa 45</v>
      </c>
      <c r="C2" s="648"/>
      <c r="D2" s="150" t="s">
        <v>464</v>
      </c>
      <c r="E2" s="1038">
        <f>+'Fiche de renseignement R1'!$V$10</f>
        <v>44561</v>
      </c>
      <c r="F2" s="1039"/>
    </row>
    <row r="3" spans="1:6" ht="13.8">
      <c r="A3" s="1044" t="s">
        <v>466</v>
      </c>
      <c r="B3" s="1042" t="str">
        <f>+'Fiche de renseignement R1'!$J$10</f>
        <v>Identifiant-123-4fr2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 t="str">
        <f>'Fiche de renseignement R1'!$J$4</f>
        <v>Africa 45</v>
      </c>
      <c r="E3" s="1057"/>
      <c r="F3" s="1057"/>
      <c r="G3" s="1057"/>
      <c r="I3" s="150" t="s">
        <v>464</v>
      </c>
      <c r="J3" s="1060">
        <f>+'Fiche de renseignement R1'!$V$10</f>
        <v>44561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 t="str">
        <f>+'Fiche de renseignement R1'!$J$10</f>
        <v>Identifiant-123-4fr2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31/12/2021</v>
      </c>
      <c r="E6" s="1054"/>
      <c r="F6" s="1055"/>
      <c r="G6" s="568" t="str">
        <f>IFERROR("Exercice au 31/12/"&amp;YEAR('Fiche de renseignement R1'!Q20),"Exercice au 31/12/N-1")</f>
        <v>Exercice au 31/12/2020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31/12/2021</v>
      </c>
      <c r="L6" s="569" t="str">
        <f>IFERROR("Exercice au 31/12/"&amp;YEAR('Fiche de renseignement R1'!Q20),"Exercice au 31/12/N-1")</f>
        <v>Exercice au 31/12/2020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 t="str">
        <f>'Fiche de renseignement R1'!$J$4</f>
        <v>Africa 45</v>
      </c>
      <c r="C3" s="193"/>
      <c r="D3" s="150" t="s">
        <v>464</v>
      </c>
      <c r="E3" s="1038">
        <f>+'Fiche de renseignement R1'!$V$10</f>
        <v>44561</v>
      </c>
      <c r="F3" s="1039"/>
    </row>
    <row r="4" spans="1:6" s="150" customFormat="1" ht="31.05" customHeight="1">
      <c r="A4" s="171" t="s">
        <v>466</v>
      </c>
      <c r="B4" s="634" t="str">
        <f>+'Fiche de renseignement R1'!$J$10</f>
        <v>Identifiant-123-4fr2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31/12/2021</v>
      </c>
      <c r="F6" s="46" t="str">
        <f>IFERROR("31/12/"&amp;YEAR('Fiche de renseignement R1'!Q20),"Exercice au 31/12/N-1")</f>
        <v>31/12/2020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 t="str">
        <f>'Fiche de renseignement R1'!$J$4</f>
        <v>Africa 45</v>
      </c>
      <c r="C3" s="193"/>
      <c r="D3" s="193" t="s">
        <v>464</v>
      </c>
      <c r="E3" s="1038">
        <f>+'Fiche de renseignement R1'!$V$10</f>
        <v>44561</v>
      </c>
      <c r="F3" s="1039"/>
    </row>
    <row r="4" spans="1:6" s="150" customFormat="1" ht="31.05" customHeight="1">
      <c r="A4" s="172" t="s">
        <v>466</v>
      </c>
      <c r="B4" s="634" t="str">
        <f>+'Fiche de renseignement R1'!$J$10</f>
        <v>Identifiant-123-4fr2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31/12/2021</v>
      </c>
      <c r="F6" s="667" t="str">
        <f>IFERROR("31/12/"&amp;YEAR('Fiche de renseignement R1'!Q20),"Exercice au 31/12/N-1")</f>
        <v>31/12/2020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 t="str">
        <f>'Fiche de renseignement R1'!$J$4</f>
        <v>Africa 45</v>
      </c>
      <c r="C3" s="1067"/>
      <c r="D3" s="635" t="s">
        <v>464</v>
      </c>
      <c r="E3" s="1038">
        <f>+'Fiche de renseignement R1'!$V$10</f>
        <v>44561</v>
      </c>
      <c r="F3" s="1039"/>
    </row>
    <row r="4" spans="1:6" ht="15" customHeight="1">
      <c r="A4" s="1057" t="s">
        <v>466</v>
      </c>
      <c r="B4" s="1059" t="str">
        <f>+'Fiche de renseignement R1'!$J$10</f>
        <v>Identifiant-123-4fr2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 t="str">
        <f>'Fiche de renseignement R1'!$J$4</f>
        <v>Africa 45</v>
      </c>
      <c r="C3" s="150" t="s">
        <v>464</v>
      </c>
      <c r="D3" s="274">
        <f>+'Note 1'!E3</f>
        <v>44561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 t="str">
        <f>'Fiche de renseignement R1'!$J$4</f>
        <v>Africa 45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 t="str">
        <f>+'Note 1'!B4</f>
        <v>Identifiant-123-4fr2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 t="str">
        <f>'Fiche de renseignement R1'!$J$4</f>
        <v>Africa 45</v>
      </c>
      <c r="C3" s="1103"/>
      <c r="G3" s="165" t="s">
        <v>464</v>
      </c>
      <c r="H3" s="1100">
        <f>+'Note 1'!E3</f>
        <v>44561</v>
      </c>
      <c r="I3" s="1101"/>
    </row>
    <row r="4" spans="1:9" ht="15" customHeight="1">
      <c r="A4" s="150" t="s">
        <v>466</v>
      </c>
      <c r="B4" s="1102" t="str">
        <f>+'Note 1'!B4</f>
        <v>Identifiant-123-4fr2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 t="str">
        <f>'Fiche de renseignement R1'!$J$4</f>
        <v>Africa 45</v>
      </c>
      <c r="C3" s="1106"/>
      <c r="D3" s="640" t="s">
        <v>464</v>
      </c>
      <c r="E3" s="308">
        <f>+'Note 1'!E3</f>
        <v>44561</v>
      </c>
      <c r="F3" s="160"/>
    </row>
    <row r="4" spans="1:6" ht="15" customHeight="1">
      <c r="A4" s="1057" t="s">
        <v>466</v>
      </c>
      <c r="B4" s="1107" t="str">
        <f>+'Note 1'!B4</f>
        <v>Identifiant-123-4fr2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 t="str">
        <f>'Fiche de renseignement R1'!$J$4</f>
        <v>Africa 45</v>
      </c>
      <c r="C3" s="1103"/>
      <c r="D3" s="635" t="s">
        <v>464</v>
      </c>
      <c r="E3" s="1100">
        <f>+'Note 1'!E3</f>
        <v>44561</v>
      </c>
      <c r="F3" s="1101"/>
    </row>
    <row r="4" spans="1:6" ht="15" customHeight="1">
      <c r="A4" s="1057" t="s">
        <v>466</v>
      </c>
      <c r="B4" s="1107" t="str">
        <f>+'Note 1'!B4</f>
        <v>Identifiant-123-4fr2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 t="str">
        <f>'Fiche de renseignement R1'!$J$4</f>
        <v>Africa 45</v>
      </c>
      <c r="C3" s="193" t="s">
        <v>464</v>
      </c>
      <c r="D3" s="649">
        <f>+'Note 1'!E3</f>
        <v>44561</v>
      </c>
    </row>
    <row r="4" spans="1:4" ht="18" customHeight="1">
      <c r="A4" s="1057" t="s">
        <v>466</v>
      </c>
      <c r="B4" s="1107" t="str">
        <f>+'Note 1'!B4</f>
        <v>Identifiant-123-4fr2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 t="str">
        <f>'Fiche de renseignement R1'!$J$4</f>
        <v>Africa 45</v>
      </c>
      <c r="C3" s="1103"/>
      <c r="E3" s="640" t="s">
        <v>464</v>
      </c>
      <c r="F3" s="1100">
        <f>+'Note 1'!E3</f>
        <v>44561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2021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 t="str">
        <f>'Fiche de renseignement R1'!$J$4</f>
        <v>Africa 45</v>
      </c>
      <c r="C3" s="1106"/>
      <c r="E3" s="162" t="s">
        <v>464</v>
      </c>
      <c r="F3" s="1100">
        <f>+'Note 1'!E3</f>
        <v>44561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2021</v>
      </c>
      <c r="C8" s="1152"/>
      <c r="D8" s="1151">
        <f>IFERROR(YEAR('Fiche de renseignement R1'!Q20),"Annee N-1")</f>
        <v>2020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2021</v>
      </c>
      <c r="C22" s="1141"/>
      <c r="D22" s="1140">
        <f>IFERROR(YEAR('Fiche de renseignement R1'!Q20),"Annee N-1")</f>
        <v>2020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 t="str">
        <f>'Fiche de renseignement R1'!$J$4</f>
        <v>Africa 45</v>
      </c>
      <c r="C3" s="150" t="s">
        <v>464</v>
      </c>
      <c r="D3" s="322">
        <f>+'Note 1'!E3</f>
        <v>44561</v>
      </c>
    </row>
    <row r="4" spans="1:4" ht="15" customHeight="1">
      <c r="A4" s="150" t="s">
        <v>466</v>
      </c>
      <c r="B4" s="638" t="str">
        <f>+'Note 1'!B4</f>
        <v>Identifiant-123-4fr2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2021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 t="str">
        <f>'Fiche de renseignement R1'!$J$4</f>
        <v>Africa 45</v>
      </c>
      <c r="C3" s="1103"/>
      <c r="E3" s="162" t="s">
        <v>464</v>
      </c>
      <c r="F3" s="1100">
        <f>+'Note 1'!E3</f>
        <v>44561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2021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 t="str">
        <f>'Fiche de renseignement R1'!$J$4</f>
        <v>Africa 45</v>
      </c>
      <c r="C3" s="1106"/>
      <c r="E3" s="162" t="s">
        <v>464</v>
      </c>
      <c r="F3" s="1100">
        <f>+'Note 1'!E3</f>
        <v>44561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2021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 t="str">
        <f>'Fiche de renseignement R1'!$J$4</f>
        <v>Africa 45</v>
      </c>
      <c r="C3" s="1106"/>
      <c r="E3" s="636" t="s">
        <v>464</v>
      </c>
      <c r="F3" s="1100">
        <f>+'Note 1'!E3</f>
        <v>44561</v>
      </c>
      <c r="G3" s="1100"/>
    </row>
    <row r="4" spans="1:7" ht="15" customHeight="1">
      <c r="A4" s="150" t="s">
        <v>466</v>
      </c>
      <c r="B4" s="1102" t="str">
        <f>+'Note 1'!B4</f>
        <v>Identifiant-123-4fr2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 t="str">
        <f>'Fiche de renseignement R1'!$J$4</f>
        <v>Africa 45</v>
      </c>
      <c r="C3" s="150" t="s">
        <v>464</v>
      </c>
      <c r="D3" s="626">
        <f>+'Note 1'!E3</f>
        <v>44561</v>
      </c>
    </row>
    <row r="4" spans="1:4" ht="15" customHeight="1">
      <c r="A4" s="150" t="s">
        <v>466</v>
      </c>
      <c r="B4" s="627" t="str">
        <f>+'Note 1'!B4</f>
        <v>Identifiant-123-4fr2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2021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 t="str">
        <f>'Fiche de renseignement R1'!$J$4</f>
        <v>Africa 45</v>
      </c>
      <c r="C3" s="150" t="s">
        <v>464</v>
      </c>
      <c r="D3" s="322">
        <f>+'Note 1'!E3</f>
        <v>44561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2021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 t="str">
        <f>'Fiche de renseignement R1'!$J$4</f>
        <v>Africa 45</v>
      </c>
      <c r="C3" s="150" t="s">
        <v>464</v>
      </c>
      <c r="D3" s="322">
        <f>+'Note 1'!E3</f>
        <v>44561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2021</v>
      </c>
      <c r="C6" s="1070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 t="str">
        <f>'Fiche de renseignement R1'!$J$4</f>
        <v>Africa 45</v>
      </c>
      <c r="C3" s="1103"/>
      <c r="E3" s="162" t="s">
        <v>464</v>
      </c>
      <c r="F3" s="1100">
        <f>+'Note 1'!E3</f>
        <v>44561</v>
      </c>
      <c r="G3" s="1100"/>
    </row>
    <row r="4" spans="1:7" ht="15" customHeight="1">
      <c r="A4" s="150" t="s">
        <v>466</v>
      </c>
      <c r="B4" s="1102" t="str">
        <f>+'Note 1'!B4</f>
        <v>Identifiant-123-4fr2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 t="str">
        <f>'Fiche de renseignement R1'!$J$4</f>
        <v>Africa 45</v>
      </c>
      <c r="C3" s="1103"/>
      <c r="E3" s="162" t="s">
        <v>464</v>
      </c>
      <c r="F3" s="1100">
        <f>+'Note 1'!E3</f>
        <v>44561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 t="s">
        <v>1900</v>
      </c>
      <c r="B10" s="153" t="s">
        <v>1901</v>
      </c>
      <c r="C10" s="1179" t="s">
        <v>1902</v>
      </c>
      <c r="D10" s="1180">
        <v>7250000</v>
      </c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 t="str">
        <f>'Fiche de renseignement R1'!$J$4</f>
        <v>Africa 45</v>
      </c>
      <c r="C3" s="1103"/>
      <c r="E3" s="165" t="s">
        <v>464</v>
      </c>
      <c r="F3" s="1100">
        <f>+'Note 1'!E3</f>
        <v>44561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2021</v>
      </c>
      <c r="C7" s="1141"/>
      <c r="D7" s="1140">
        <f>IFERROR(YEAR('Fiche de renseignement R1'!Q20),"Annee N-1")</f>
        <v>2020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 t="str">
        <f>'Fiche de renseignement R1'!$J$4</f>
        <v>Africa 45</v>
      </c>
      <c r="C3" s="1103"/>
      <c r="E3" s="1200" t="s">
        <v>464</v>
      </c>
      <c r="F3" s="1200"/>
      <c r="G3" s="1198">
        <f>+'Note 1'!E3</f>
        <v>44561</v>
      </c>
      <c r="H3" s="1198"/>
    </row>
    <row r="4" spans="1:8" ht="15" customHeight="1">
      <c r="A4" s="1057" t="s">
        <v>466</v>
      </c>
      <c r="B4" s="1107" t="str">
        <f>+'Note 1'!B4</f>
        <v>Identifiant-123-4fr2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2021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 t="str">
        <f>'Fiche de renseignement R1'!$J$4</f>
        <v>Africa 45</v>
      </c>
      <c r="C3" s="1201"/>
      <c r="E3" s="642" t="s">
        <v>464</v>
      </c>
      <c r="F3" s="1085">
        <f>+'Note 1'!E3</f>
        <v>44561</v>
      </c>
      <c r="G3" s="1085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2021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 t="str">
        <f>'Fiche de renseignement R1'!$J$4</f>
        <v>Africa 45</v>
      </c>
      <c r="C3" s="1108"/>
      <c r="D3" s="193"/>
      <c r="E3" s="1040" t="s">
        <v>464</v>
      </c>
      <c r="F3" s="1040"/>
      <c r="G3" s="1198">
        <f>+'Note 1'!E3</f>
        <v>44561</v>
      </c>
      <c r="H3" s="1198"/>
    </row>
    <row r="4" spans="1:8" ht="15" customHeight="1">
      <c r="A4" s="150" t="s">
        <v>466</v>
      </c>
      <c r="B4" s="1102" t="str">
        <f>+'Note 1'!B4</f>
        <v>Identifiant-123-4fr2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2021</v>
      </c>
      <c r="C6" s="1087">
        <f>IFERROR(YEAR('Fiche de renseignement R1'!Q20),"Annee N-1")</f>
        <v>2020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 t="str">
        <f>'Fiche de renseignement R1'!$J$4</f>
        <v>Africa 45</v>
      </c>
      <c r="C3" s="1103"/>
      <c r="D3" s="193" t="s">
        <v>464</v>
      </c>
      <c r="E3" s="684">
        <f>+'Note 1'!E3</f>
        <v>44561</v>
      </c>
      <c r="F3" s="658"/>
    </row>
    <row r="4" spans="1:6" ht="15" customHeight="1">
      <c r="A4" s="1057" t="s">
        <v>466</v>
      </c>
      <c r="B4" s="1107" t="str">
        <f>+'Note 1'!B4</f>
        <v>Identifiant-123-4fr2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2021</v>
      </c>
      <c r="C8" s="1095"/>
      <c r="D8" s="1093">
        <f>IFERROR(YEAR('Fiche de renseignement R1'!Q20),"Annee N-1")</f>
        <v>2020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2021</v>
      </c>
      <c r="C22" s="1095"/>
      <c r="D22" s="1093">
        <f>IFERROR(YEAR('Fiche de renseignement R1'!Q20),"Annee N-1")</f>
        <v>2020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2021</v>
      </c>
      <c r="D36" s="1095"/>
      <c r="E36" s="1093">
        <f>IFERROR(YEAR('Fiche de renseignement R1'!Q20),"Annee N-1")</f>
        <v>2020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 t="str">
        <f>'Fiche de renseignement R1'!$J$4</f>
        <v>Africa 45</v>
      </c>
      <c r="C3" s="706"/>
      <c r="D3" s="703" t="s">
        <v>1454</v>
      </c>
      <c r="E3" s="856">
        <f>+'Note 1'!E3</f>
        <v>44561</v>
      </c>
    </row>
    <row r="4" spans="1:5" ht="15" customHeight="1">
      <c r="A4" s="150" t="s">
        <v>466</v>
      </c>
      <c r="B4" s="705" t="str">
        <f>+'Note 1'!B4</f>
        <v>Identifiant-123-4fr2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2021</v>
      </c>
      <c r="C7" s="1070"/>
      <c r="D7" s="1070">
        <f>IFERROR(YEAR('Fiche de renseignement R1'!Q20),"Annee N-1")</f>
        <v>2020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2021</v>
      </c>
      <c r="C17" s="1095"/>
      <c r="D17" s="1212">
        <f>IFERROR(YEAR('Fiche de renseignement R1'!Q20),"Annee N-1")</f>
        <v>2020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 t="str">
        <f>'Fiche de renseignement R1'!$J$4</f>
        <v>Africa 45</v>
      </c>
      <c r="C3" s="703" t="s">
        <v>464</v>
      </c>
      <c r="D3" s="322">
        <f>+'Note 1'!E3</f>
        <v>44561</v>
      </c>
    </row>
    <row r="4" spans="1:4" ht="20.4" customHeight="1">
      <c r="A4" s="193" t="s">
        <v>466</v>
      </c>
      <c r="B4" s="650" t="str">
        <f>+'Note 1'!B4</f>
        <v>Identifiant-123-4fr2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2021</v>
      </c>
      <c r="D7" s="159">
        <f>IFERROR(YEAR('Fiche de renseignement R1'!Q20),"Annee N-1")</f>
        <v>2020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 t="str">
        <f>'Fiche de renseignement R1'!$J$4</f>
        <v>Africa 45</v>
      </c>
      <c r="C3" s="1103"/>
      <c r="D3" s="1040" t="s">
        <v>464</v>
      </c>
      <c r="E3" s="1040"/>
      <c r="F3" s="1085">
        <f>+'Note 1'!E3</f>
        <v>44561</v>
      </c>
      <c r="G3" s="1085"/>
    </row>
    <row r="4" spans="1:7" s="193" customFormat="1" ht="21" customHeight="1">
      <c r="A4" s="193" t="s">
        <v>466</v>
      </c>
      <c r="B4" s="1222" t="str">
        <f>+'Note 1'!B4</f>
        <v>Identifiant-123-4fr2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2021</v>
      </c>
      <c r="C6" s="1087">
        <f>IFERROR(YEAR('Fiche de renseignement R1'!Q20),"Annee N-1")</f>
        <v>2020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 t="str">
        <f>'Fiche de renseignement R1'!$J$4</f>
        <v>Africa 45</v>
      </c>
      <c r="C3" s="1103"/>
      <c r="F3" s="703" t="s">
        <v>464</v>
      </c>
      <c r="G3" s="1085">
        <f>+'Note 1'!E3</f>
        <v>44561</v>
      </c>
      <c r="H3" s="1085"/>
    </row>
    <row r="4" spans="1:8" s="193" customFormat="1" ht="21" customHeight="1">
      <c r="A4" s="193" t="s">
        <v>466</v>
      </c>
      <c r="B4" s="1222" t="str">
        <f>+'Note 1'!B4</f>
        <v>Identifiant-123-4fr2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2021</v>
      </c>
      <c r="C6" s="1087">
        <f>IFERROR(YEAR('Fiche de renseignement R1'!Q20),"Annee N-1")</f>
        <v>2020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 t="str">
        <f>'Fiche de renseignement R1'!$J$4</f>
        <v>Africa 45</v>
      </c>
      <c r="C3" s="1103"/>
      <c r="D3" s="379"/>
      <c r="E3" s="1057" t="s">
        <v>464</v>
      </c>
      <c r="F3" s="1057"/>
      <c r="G3" s="1100">
        <f>+'Note 1'!E3</f>
        <v>44561</v>
      </c>
      <c r="H3" s="1100"/>
    </row>
    <row r="4" spans="1:8" ht="15" customHeight="1">
      <c r="A4" s="150" t="s">
        <v>466</v>
      </c>
      <c r="B4" s="1102" t="str">
        <f>+'Note 1'!B4</f>
        <v>Identifiant-123-4fr2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2021</v>
      </c>
      <c r="C6" s="1087">
        <f>IFERROR(YEAR('Fiche de renseignement R1'!Q20),"Annee N-1")</f>
        <v>2020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 t="str">
        <f>'Fiche de renseignement R1'!$J$4</f>
        <v>Africa 45</v>
      </c>
      <c r="C3" s="150" t="s">
        <v>464</v>
      </c>
      <c r="D3" s="322">
        <f>+'Note 1'!E3</f>
        <v>44561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2021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 t="str">
        <f>'Fiche de renseignement R1'!$J$4</f>
        <v>Africa 45</v>
      </c>
      <c r="C3" s="150" t="s">
        <v>464</v>
      </c>
      <c r="D3" s="322">
        <f>+'Note 1'!E3</f>
        <v>44561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2021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 t="str">
        <f>'Fiche de renseignement R1'!$J$4</f>
        <v>Africa 45</v>
      </c>
      <c r="C3" s="150" t="s">
        <v>464</v>
      </c>
      <c r="D3" s="322">
        <f>+'Note 1'!E3</f>
        <v>44561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2021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 t="str">
        <f>'Fiche de renseignement R1'!$J$4</f>
        <v>Africa 45</v>
      </c>
      <c r="C3" s="150" t="s">
        <v>464</v>
      </c>
      <c r="D3" s="322">
        <f>+'Note 1'!E3</f>
        <v>44561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2021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 t="str">
        <f>'Fiche de renseignement R1'!$J$4</f>
        <v>Africa 45</v>
      </c>
      <c r="C3" s="150" t="s">
        <v>464</v>
      </c>
      <c r="D3" s="322">
        <f>+'Note 1'!E3</f>
        <v>44561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2021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 t="str">
        <f>'Fiche de renseignement R1'!$J$4</f>
        <v>Africa 45</v>
      </c>
      <c r="C3" s="150" t="s">
        <v>464</v>
      </c>
      <c r="D3" s="322">
        <f>+'Note 1'!E3</f>
        <v>44561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2021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 t="str">
        <f>'Fiche de renseignement R1'!$J$4</f>
        <v>Africa 45</v>
      </c>
      <c r="C3" s="635" t="s">
        <v>464</v>
      </c>
      <c r="D3" s="322">
        <f>+'Note 1'!E3</f>
        <v>44561</v>
      </c>
    </row>
    <row r="4" spans="1:4" ht="15" customHeight="1">
      <c r="A4" s="150" t="s">
        <v>466</v>
      </c>
      <c r="B4" s="323" t="str">
        <f>+'Note 1'!B4</f>
        <v>Identifiant-123-4fr2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2021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 t="str">
        <f>'Fiche de renseignement R1'!$J$4</f>
        <v>Africa 45</v>
      </c>
      <c r="C3" s="635" t="s">
        <v>464</v>
      </c>
      <c r="D3" s="322">
        <f>+'Note 1'!E3</f>
        <v>44561</v>
      </c>
    </row>
    <row r="4" spans="1:4" ht="15" customHeight="1">
      <c r="A4" s="150" t="s">
        <v>466</v>
      </c>
      <c r="B4" s="323" t="str">
        <f>+'Note 1'!B4</f>
        <v>Identifiant-123-4fr2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2021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 t="str">
        <f>'Fiche de renseignement R1'!$J$4</f>
        <v>Africa 45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44561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 t="str">
        <f>+'Note 1'!B4</f>
        <v>Identifiant-123-4fr2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 t="str">
        <f>'Fiche de renseignement R1'!$J$4</f>
        <v>Africa 45</v>
      </c>
      <c r="C3" s="1106"/>
      <c r="G3" s="150" t="s">
        <v>464</v>
      </c>
      <c r="H3" s="1100">
        <f>+'Note 1'!E3</f>
        <v>44561</v>
      </c>
      <c r="I3" s="1101"/>
    </row>
    <row r="4" spans="1:9" s="150" customFormat="1" ht="15" customHeight="1">
      <c r="A4" s="1057" t="s">
        <v>466</v>
      </c>
      <c r="B4" s="1107" t="str">
        <f>+'Note 1'!B4</f>
        <v>Identifiant-123-4fr2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 t="str">
        <f>'Fiche de renseignement R1'!$J$4</f>
        <v>Africa 45</v>
      </c>
      <c r="C3" s="635" t="s">
        <v>464</v>
      </c>
      <c r="D3" s="850">
        <f>+'Note 1'!E3</f>
        <v>44561</v>
      </c>
    </row>
    <row r="4" spans="1:4" ht="23.4" customHeight="1">
      <c r="A4" s="193" t="s">
        <v>466</v>
      </c>
      <c r="B4" s="323" t="str">
        <f>+'Note 1'!B4</f>
        <v>Identifiant-123-4fr2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2021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 t="str">
        <f>'Fiche de renseignement R1'!$J$4</f>
        <v>Africa 45</v>
      </c>
      <c r="C3" s="635" t="s">
        <v>464</v>
      </c>
      <c r="D3" s="322">
        <f>+'Note 1'!E3</f>
        <v>44561</v>
      </c>
    </row>
    <row r="4" spans="1:4" ht="15" customHeight="1">
      <c r="A4" s="150" t="s">
        <v>466</v>
      </c>
      <c r="B4" s="323" t="str">
        <f>+'Note 1'!B4</f>
        <v>Identifiant-123-4fr2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2021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 t="str">
        <f>'Fiche de renseignement R1'!$J$4</f>
        <v>Africa 45</v>
      </c>
      <c r="C3" s="1106"/>
      <c r="D3" s="150" t="s">
        <v>464</v>
      </c>
      <c r="E3" s="1100">
        <f>+'Note 1'!E3</f>
        <v>44561</v>
      </c>
      <c r="F3" s="1101"/>
    </row>
    <row r="4" spans="1:6" s="150" customFormat="1" ht="15" customHeight="1">
      <c r="A4" s="150" t="s">
        <v>466</v>
      </c>
      <c r="B4" s="1102" t="str">
        <f>+'Note 1'!B4</f>
        <v>Identifiant-123-4fr2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2021</v>
      </c>
      <c r="C6" s="1254">
        <f>IFERROR(YEAR('Fiche de renseignement R1'!V10)-1,"N-1")</f>
        <v>2020</v>
      </c>
      <c r="D6" s="1254">
        <f>IFERROR(YEAR('Fiche de renseignement R1'!V10)-2,"N-2")</f>
        <v>2019</v>
      </c>
      <c r="E6" s="1254">
        <f>IFERROR(YEAR('Fiche de renseignement R1'!V10)-3,"N-3")</f>
        <v>2018</v>
      </c>
      <c r="F6" s="1254">
        <f>IFERROR(YEAR('Fiche de renseignement R1'!V10)-4,"N-4")</f>
        <v>2017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 t="str">
        <f>'Fiche de renseignement R1'!$J$4</f>
        <v>Africa 45</v>
      </c>
      <c r="C3" s="1103"/>
      <c r="D3" s="1103"/>
      <c r="J3" s="1040" t="s">
        <v>464</v>
      </c>
      <c r="K3" s="1040"/>
      <c r="L3" s="1100">
        <f>+'Note 1'!E3</f>
        <v>44561</v>
      </c>
      <c r="M3" s="1101"/>
    </row>
    <row r="4" spans="1:13" s="150" customFormat="1" ht="15" customHeight="1">
      <c r="A4" s="150" t="s">
        <v>466</v>
      </c>
      <c r="B4" s="1107" t="str">
        <f>+'Note 1'!B4</f>
        <v>Identifiant-123-4fr2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 t="str">
        <f>'Fiche de renseignement R1'!$J$4</f>
        <v>Africa 45</v>
      </c>
      <c r="C3" s="1103"/>
      <c r="D3" s="1103"/>
      <c r="F3" s="1290" t="s">
        <v>464</v>
      </c>
      <c r="G3" s="1290"/>
      <c r="H3" s="1100">
        <f>+'Note 1'!E3</f>
        <v>44561</v>
      </c>
      <c r="I3" s="1101"/>
    </row>
    <row r="4" spans="1:9" s="150" customFormat="1" ht="15" customHeight="1">
      <c r="A4" s="150" t="s">
        <v>466</v>
      </c>
      <c r="B4" s="1107" t="str">
        <f>+'Note 1'!B4</f>
        <v>Identifiant-123-4fr2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 t="str">
        <f>'Fiche de renseignement R1'!$J$4</f>
        <v>Africa 45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 t="str">
        <f>+'Note 1'!B4</f>
        <v>Identifiant-123-4fr2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2021</v>
      </c>
      <c r="C6" s="868">
        <f>IFERROR(YEAR('Fiche de renseignement R1'!Q20),"Annee N-1")</f>
        <v>2020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44561</v>
      </c>
      <c r="D3" s="1311"/>
    </row>
    <row r="4" spans="1:4" s="150" customFormat="1" ht="22.2" customHeight="1">
      <c r="A4" s="854" t="str">
        <f>'Fiche de renseignement R1'!$J$4</f>
        <v>Africa 45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 t="str">
        <f>+'Note 1'!B4</f>
        <v>Identifiant-123-4fr2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3361cf3-33de-4973-99bb-376863d36ca9}">
  <dimension ref="A5"/>
  <sheetViews>
    <sheetView workbookViewId="0" topLeftCell="A1"/>
  </sheetViews>
  <sheetFormatPr defaultRowHeight="12.75"/>
  <sheetData>
    <row r="5" spans="1:1" ht="23.25" customHeight="1">
      <c r="A5" s="1320" t="s">
        <v>1537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157338-c2bc-47ec-9194-aee0558ad155}">
  <dimension ref="A5"/>
  <sheetViews>
    <sheetView workbookViewId="0" topLeftCell="A1"/>
  </sheetViews>
  <sheetFormatPr defaultRowHeight="12.75"/>
  <sheetData>
    <row r="5" spans="1:1" ht="23.25" customHeight="1">
      <c r="A5" s="1321" t="s">
        <v>1537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ded4052-e7de-489e-8497-d3d09875221c}">
  <dimension ref="A5"/>
  <sheetViews>
    <sheetView workbookViewId="0" topLeftCell="A1"/>
  </sheetViews>
  <sheetFormatPr defaultRowHeight="12.75"/>
  <sheetData>
    <row r="5" spans="1:1" ht="23.25" customHeight="1">
      <c r="A5" s="1322" t="s">
        <v>1537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d7bf4c4-4fef-42e9-97d1-8a0bd9921bdc}">
  <dimension ref="A5"/>
  <sheetViews>
    <sheetView workbookViewId="0" topLeftCell="A1"/>
  </sheetViews>
  <sheetFormatPr defaultRowHeight="12.75"/>
  <sheetData>
    <row r="5" spans="1:1" ht="23.25" customHeight="1">
      <c r="A5" s="1323" t="s">
        <v>1537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08e9479-68c2-4648-8c5c-dbe81d365ed2}">
  <dimension ref="A5"/>
  <sheetViews>
    <sheetView workbookViewId="0" topLeftCell="A1"/>
  </sheetViews>
  <sheetFormatPr defaultRowHeight="12.75"/>
  <sheetData>
    <row r="5" spans="1:1" ht="23.25" customHeight="1">
      <c r="A5" s="1324" t="s">
        <v>1537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c7528bb-3f3f-455d-b71d-72de02f0e6ac}">
  <dimension ref="A5"/>
  <sheetViews>
    <sheetView workbookViewId="0" topLeftCell="A1"/>
  </sheetViews>
  <sheetFormatPr defaultRowHeight="12.75"/>
  <sheetData>
    <row r="5" spans="1:1" ht="23.25" customHeight="1">
      <c r="A5" s="1325" t="s">
        <v>1537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ec4466f-6a53-407b-8538-c078556eb947}">
  <dimension ref="A5"/>
  <sheetViews>
    <sheetView workbookViewId="0" topLeftCell="A1"/>
  </sheetViews>
  <sheetFormatPr defaultRowHeight="12.75"/>
  <sheetData>
    <row r="5" spans="1:1" ht="23.25" customHeight="1">
      <c r="A5" s="1326" t="s">
        <v>1537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91b73e-584a-4b7a-ad37-d9ded11e7509}">
  <dimension ref="A5"/>
  <sheetViews>
    <sheetView workbookViewId="0" topLeftCell="A1"/>
  </sheetViews>
  <sheetFormatPr defaultRowHeight="12.75"/>
  <sheetData>
    <row r="5" spans="1:1" ht="23.25" customHeight="1">
      <c r="A5" s="1327" t="s">
        <v>1537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33d57d0-03e7-4909-a8c8-7de1cb37feba}">
  <dimension ref="A5"/>
  <sheetViews>
    <sheetView workbookViewId="0" topLeftCell="A1"/>
  </sheetViews>
  <sheetFormatPr defaultRowHeight="12.75"/>
  <sheetData>
    <row r="5" spans="1:1" ht="23.25" customHeight="1">
      <c r="A5" s="1328" t="s">
        <v>1537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7464d02-1dc0-40b4-aec4-50c4780160bb}">
  <dimension ref="A5"/>
  <sheetViews>
    <sheetView workbookViewId="0" topLeftCell="A1"/>
  </sheetViews>
  <sheetFormatPr defaultRowHeight="12.75"/>
  <sheetData>
    <row r="5" spans="1:1" ht="23.25" customHeight="1">
      <c r="A5" s="1329" t="s">
        <v>1537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04b9674-ee06-4dd5-beb0-af95fce12c7b}">
  <dimension ref="A5"/>
  <sheetViews>
    <sheetView workbookViewId="0" topLeftCell="A1"/>
  </sheetViews>
  <sheetFormatPr defaultRowHeight="12.75"/>
  <sheetData>
    <row r="5" spans="1:1" ht="23.25" customHeight="1">
      <c r="A5" s="1330" t="s">
        <v>1537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089cb83-f5b6-45d7-9b78-82f3e737aa2d}">
  <dimension ref="A5"/>
  <sheetViews>
    <sheetView tabSelected="1" workbookViewId="0" topLeftCell="A1"/>
  </sheetViews>
  <sheetFormatPr defaultRowHeight="12.75"/>
  <sheetData>
    <row r="5" spans="1:1" ht="23.25" customHeight="1">
      <c r="A5" s="1331" t="s">
        <v>1537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69</vt:i4>
      </vt:variant>
    </vt:vector>
  </HeadingPairs>
  <TitlesOfParts>
    <vt:vector size="69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  <vt:lpstr>Evaluation Warning (1)</vt:lpstr>
      <vt:lpstr>Evaluation Warning (2)</vt:lpstr>
      <vt:lpstr>Evaluation Warning (3)</vt:lpstr>
      <vt:lpstr>Evaluation Warning (4)</vt:lpstr>
      <vt:lpstr>Evaluation Warning (5)</vt:lpstr>
      <vt:lpstr>Evaluation Warning (6)</vt:lpstr>
      <vt:lpstr>Evaluation Warning (7)</vt:lpstr>
      <vt:lpstr>Evaluation Warning (8)</vt:lpstr>
      <vt:lpstr>Evaluation Warning (9)</vt:lpstr>
      <vt:lpstr>Evaluation Warning (10)</vt:lpstr>
      <vt:lpstr>Evaluation Warning (11)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