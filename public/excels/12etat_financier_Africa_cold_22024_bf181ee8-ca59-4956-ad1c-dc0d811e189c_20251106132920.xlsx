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<sst xmlns="http://schemas.openxmlformats.org/spreadsheetml/2006/main" count="4704" uniqueCount="1883">
  <si>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</si>
  <si>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</si>
  <si>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</si>
  <si>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</si>
  <si>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</si>
  <si>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</si>
  <si>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</si>
  <si>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</si>
  <si>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</si>
  <si>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</si>
  <si>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</si>
  <si>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</si>
  <si>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</si>
  <si>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</si>
  <si>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</si>
  <si>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</si>
  <si>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</si>
  <si>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</si>
  <si>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</si>
  <si>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</si>
  <si>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</si>
  <si>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</si>
  <si>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</si>
  <si>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</si>
  <si>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</si>
  <si>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</si>
  <si>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</si>
  <si>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</si>
  <si>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</si>
  <si>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</si>
  <si>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</si>
  <si>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</si>
  <si>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</si>
  <si>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</si>
  <si>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</si>
  <si>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</si>
  <si>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</si>
  <si>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</si>
  <si>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</si>
  <si>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</si>
  <si>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</si>
  <si>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</si>
  <si>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</si>
  <si>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</si>
  <si>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</si>
  <si>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</si>
  <si>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</si>
  <si>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</si>
  <si>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</si>
  <si>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</si>
  <si>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</si>
  <si>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</si>
  <si>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</si>
  <si>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</si>
  <si>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</si>
  <si>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</si>
  <si>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</si>
  <si>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</si>
  <si>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</si>
  <si>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</si>
  <si>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</si>
  <si>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</si>
  <si>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</si>
  <si>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</si>
  <si>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</si>
  <si>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</si>
  <si>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</si>
  <si>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</si>
  <si>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</si>
  <si>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</si>
  <si>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</si>
  <si>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</si>
  <si>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</si>
  <si>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</si>
  <si>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</si>
  <si>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</si>
  <si>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</si>
  <si>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</si>
  <si>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</si>
  <si>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</si>
  <si>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</si>
  <si>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</si>
  <si>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</si>
  <si>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</si>
  <si>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</si>
  <si>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</si>
  <si>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</si>
  <si>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</si>
  <si>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</si>
  <si>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</si>
  <si>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</si>
  <si>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</si>
  <si>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</si>
  <si>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</si>
  <si>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</si>
  <si>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</si>
  <si>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</si>
  <si>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</si>
  <si>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</si>
  <si>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</si>
  <si>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</si>
  <si>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</si>
  <si>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</si>
  <si>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</si>
  <si>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</si>
  <si>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</si>
  <si>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</si>
  <si>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</si>
  <si>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</si>
  <si>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</si>
  <si>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</si>
  <si>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</si>
  <si>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</si>
  <si>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</si>
  <si>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</si>
  <si>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</si>
  <si>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</si>
  <si>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</si>
  <si>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</si>
  <si>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</si>
  <si>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</si>
  <si>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</si>
  <si>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</si>
  <si>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</si>
  <si>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</si>
  <si>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</si>
  <si>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</si>
  <si>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</si>
  <si>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</si>
  <si>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</si>
  <si>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</si>
  <si>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</si>
  <si>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</si>
  <si>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</si>
  <si>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</si>
  <si>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</si>
  <si>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</si>
  <si>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</si>
  <si>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</si>
  <si>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</si>
  <si>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</si>
  <si>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</si>
  <si>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</si>
  <si>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</si>
  <si>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</si>
  <si>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</si>
  <si>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</si>
  <si>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</si>
  <si>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</si>
  <si>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</si>
  <si>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</si>
  <si>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</si>
  <si>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</si>
  <si>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</si>
  <si>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</si>
  <si>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</si>
  <si>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</si>
  <si>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</si>
  <si>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</si>
  <si>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</si>
  <si>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</si>
  <si>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</si>
  <si>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</si>
  <si>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</si>
  <si>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</si>
  <si>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</si>
  <si>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</si>
  <si>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</si>
  <si>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</si>
  <si>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</si>
  <si>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</si>
  <si>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</si>
  <si>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</si>
  <si>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</si>
  <si>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</si>
  <si>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</si>
  <si>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</si>
  <si>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</si>
  <si>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</si>
  <si>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</si>
  <si>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</si>
  <si>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</si>
  <si>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</si>
  <si>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</si>
  <si>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</si>
  <si>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</si>
  <si>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</si>
  <si>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</si>
  <si>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</si>
  <si>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</si>
  <si>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</si>
  <si>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</si>
  <si>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</si>
  <si>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</si>
  <si>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</si>
  <si>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</si>
  <si>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</si>
  <si>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</si>
  <si>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</si>
  <si>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</si>
  <si>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</si>
  <si>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</si>
  <si>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</si>
  <si>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</si>
  <si>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</si>
  <si>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</si>
  <si>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</si>
  <si>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</si>
  <si>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</si>
  <si>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</si>
  <si>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</si>
  <si>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</si>
  <si>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</si>
  <si>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</si>
  <si>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</si>
  <si>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</si>
  <si>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</si>
  <si>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</si>
  <si>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</si>
  <si>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</si>
  <si>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</si>
  <si>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</si>
  <si>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</si>
  <si>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</si>
  <si>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</si>
  <si>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</si>
  <si>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</si>
  <si>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</si>
  <si>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</si>
  <si>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</si>
  <si>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</si>
  <si>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</si>
  <si>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</si>
  <si>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</si>
  <si>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</si>
  <si>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</si>
  <si>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</si>
  <si>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</si>
  <si>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</si>
  <si>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</si>
  <si>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</si>
  <si>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</si>
  <si>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</si>
  <si>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</si>
  <si>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</si>
  <si>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</si>
  <si>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</si>
  <si>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</si>
  <si>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</si>
  <si>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</si>
  <si>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</si>
  <si>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</si>
  <si>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</si>
  <si>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</si>
  <si>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</si>
  <si>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</si>
  <si>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</si>
  <si>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</si>
  <si>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</si>
  <si>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</si>
  <si>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</si>
  <si>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</si>
  <si>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</si>
  <si>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</si>
  <si>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</si>
  <si>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</si>
  <si>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</si>
  <si>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</si>
  <si>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</si>
  <si>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</si>
  <si>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</si>
  <si>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</si>
  <si>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</si>
  <si>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</si>
  <si>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</si>
  <si>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</si>
  <si>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</si>
  <si>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</si>
  <si>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</si>
  <si>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</si>
  <si>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</si>
  <si>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</si>
  <si>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</si>
  <si>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</si>
  <si>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</si>
  <si>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</si>
  <si>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</si>
  <si>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</si>
  <si>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</si>
  <si>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</si>
  <si>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</si>
  <si>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</si>
  <si>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</si>
  <si>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</si>
  <si>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</si>
  <si>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</si>
  <si>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</si>
  <si>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</si>
  <si>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</si>
  <si>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</si>
  <si>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</si>
  <si>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</si>
  <si>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</si>
  <si>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</si>
  <si>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</si>
  <si>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</si>
  <si>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</si>
  <si>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</si>
  <si>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</si>
  <si>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</si>
  <si>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</si>
  <si>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</si>
  <si>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</si>
  <si>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</si>
  <si>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</si>
  <si>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</si>
  <si>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</si>
  <si>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</si>
  <si>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</si>
  <si>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</si>
  <si>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</si>
  <si>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</si>
  <si>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</si>
  <si>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</si>
  <si>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</si>
  <si>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</si>
  <si>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</si>
  <si>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</si>
  <si>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</si>
  <si>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</si>
  <si>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</si>
  <si>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</si>
  <si>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</si>
  <si>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</si>
  <si>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</si>
  <si>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</si>
  <si>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</si>
  <si>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</si>
  <si>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</si>
  <si>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</si>
  <si>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</si>
  <si>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</si>
  <si>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</si>
  <si>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</si>
  <si>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</si>
  <si>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</si>
  <si>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</si>
  <si>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</si>
  <si>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</si>
  <si>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</si>
  <si>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</si>
  <si>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</si>
  <si>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</si>
  <si>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</si>
  <si>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</si>
  <si>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</si>
  <si>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</si>
  <si>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</si>
  <si>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</si>
  <si>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</si>
  <si>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</si>
  <si>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</si>
  <si>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</si>
  <si>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</si>
  <si>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</si>
  <si>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</si>
  <si>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</si>
  <si>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</si>
  <si>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</si>
  <si>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</si>
  <si>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</si>
  <si>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</si>
  <si>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</si>
  <si>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</si>
  <si>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</si>
  <si>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</si>
  <si>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</si>
  <si>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</si>
  <si>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</si>
  <si>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</si>
  <si>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</si>
  <si>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</si>
  <si>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</si>
  <si>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</si>
  <si>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</si>
  <si>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</si>
  <si>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</si>
  <si>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</si>
  <si>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</si>
  <si>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</si>
  <si>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</si>
  <si>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</si>
  <si>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</si>
  <si>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</si>
  <si>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</si>
  <si>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</si>
  <si>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</si>
  <si>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</si>
  <si>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</si>
  <si>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</si>
  <si>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</si>
  <si>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</si>
  <si>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</si>
  <si>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</si>
  <si>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</si>
  <si>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</si>
  <si>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</si>
  <si>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</si>
  <si>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</si>
  <si>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</si>
  <si>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</si>
  <si>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</si>
  <si>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</si>
  <si>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</si>
  <si>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</si>
  <si>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</si>
  <si>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</si>
  <si>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</si>
  <si>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</si>
  <si>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</si>
  <si>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</si>
  <si>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</si>
  <si>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</si>
  <si>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</si>
  <si>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</si>
  <si>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</si>
  <si>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</si>
  <si>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</si>
  <si>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</si>
  <si>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</si>
  <si>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</si>
  <si>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</si>
  <si>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</si>
  <si>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</si>
  <si>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</si>
  <si>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</si>
  <si>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</si>
  <si>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</si>
  <si>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</si>
  <si>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</si>
  <si>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</si>
  <si>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</si>
  <si>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</si>
  <si>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</si>
  <si>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</si>
  <si>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</si>
  <si>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</si>
  <si>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</si>
  <si>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</si>
  <si>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</si>
  <si>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</si>
  <si>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</si>
  <si>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</si>
  <si>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</si>
  <si>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</si>
  <si>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</si>
  <si>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</si>
  <si>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</si>
  <si>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</si>
  <si>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</si>
  <si>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</si>
  <si>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</si>
  <si>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</si>
  <si>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</si>
  <si>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</si>
  <si>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</si>
  <si>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</si>
  <si>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</si>
  <si>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</si>
  <si>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</si>
  <si>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</si>
  <si>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</si>
  <si>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</si>
  <si>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</si>
  <si>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</si>
  <si>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</si>
  <si>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</si>
  <si>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</si>
  <si>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</si>
  <si>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</si>
  <si>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</si>
  <si>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</si>
  <si>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</si>
  <si>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</si>
  <si>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</si>
  <si>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</si>
  <si>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</si>
  <si>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</si>
  <si>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</si>
  <si>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</si>
  <si>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</si>
  <si>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</si>
  <si>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</si>
  <si>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</si>
  <si>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</si>
  <si>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</si>
  <si>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</si>
  <si>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</si>
  <si>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</si>
  <si>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</si>
  <si>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</si>
  <si>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</si>
  <si>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</si>
  <si>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</si>
  <si>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</si>
  <si>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</si>
  <si>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</si>
  <si>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</si>
  <si>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</si>
  <si>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</si>
  <si>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</si>
  <si>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</si>
  <si>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</si>
  <si>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</si>
  <si>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</si>
  <si>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</si>
  <si>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</si>
  <si>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</si>
  <si>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</si>
  <si>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</si>
  <si>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</si>
  <si>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</si>
  <si>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</si>
  <si>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</si>
  <si>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</si>
  <si>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</si>
  <si>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</si>
  <si>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</si>
  <si>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</si>
  <si>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</si>
  <si>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</si>
  <si>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</si>
  <si>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</si>
  <si>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</si>
  <si>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</si>
  <si>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</si>
  <si>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</si>
  <si>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</si>
  <si>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</si>
  <si>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</si>
  <si>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</si>
  <si>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</si>
  <si>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</si>
  <si>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</si>
  <si>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</si>
  <si>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</si>
  <si>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</si>
  <si>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</si>
  <si>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</si>
  <si>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</si>
  <si>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</si>
  <si>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</si>
  <si>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</si>
  <si>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</si>
  <si>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</si>
  <si>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</si>
  <si>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</si>
  <si>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</si>
  <si>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</si>
  <si>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</si>
  <si>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</si>
  <si>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</si>
  <si>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</si>
  <si>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</si>
  <si>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</si>
  <si>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</si>
  <si>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</si>
  <si>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</si>
  <si>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</si>
  <si>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</si>
  <si>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</si>
  <si>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</si>
  <si>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</si>
  <si>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</si>
  <si>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</si>
  <si>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</si>
  <si>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</si>
  <si>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</si>
  <si>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</si>
  <si>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</si>
  <si>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</si>
  <si>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</si>
  <si>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</si>
  <si>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</si>
  <si>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</si>
  <si>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</si>
  <si>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</si>
  <si>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</si>
  <si>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</si>
  <si>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</si>
  <si>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</si>
  <si>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</si>
  <si>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</si>
  <si>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</si>
  <si>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</si>
  <si>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</si>
  <si>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</si>
  <si>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</si>
  <si>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</si>
  <si>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</si>
  <si>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</si>
  <si>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</si>
  <si>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</si>
  <si>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</si>
  <si>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</si>
  <si>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</si>
  <si>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</si>
  <si>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</si>
  <si>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</si>
  <si>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</si>
  <si>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</si>
  <si>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</si>
  <si>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</si>
  <si>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</si>
  <si>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</si>
  <si>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</si>
  <si>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</si>
  <si>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</si>
  <si>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</si>
  <si>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</si>
  <si>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</si>
  <si>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</si>
  <si>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</si>
  <si>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</si>
  <si>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</si>
  <si>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</si>
  <si>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</si>
  <si>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</si>
  <si>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</si>
  <si>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</si>
  <si>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</si>
  <si>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</si>
  <si>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</si>
  <si>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</si>
  <si>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</si>
  <si>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</si>
  <si>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</si>
  <si>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</si>
  <si>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</si>
  <si>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</si>
  <si>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</si>
  <si>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</si>
  <si>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</si>
  <si>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</si>
  <si>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</si>
  <si>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</si>
  <si>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</si>
  <si>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</si>
  <si>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</si>
  <si>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</si>
  <si>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</si>
  <si>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</si>
  <si>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</si>
  <si>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</si>
  <si>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</si>
  <si>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</si>
  <si>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</si>
  <si>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</si>
  <si>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</si>
  <si>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</si>
  <si>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</si>
  <si>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</si>
  <si>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</si>
  <si>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</si>
  <si>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</si>
  <si>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</si>
  <si>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</si>
  <si>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</si>
  <si>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</si>
  <si>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</si>
  <si>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</si>
  <si>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</si>
  <si>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</si>
  <si>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</si>
  <si>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</si>
  <si>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</si>
  <si>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</si>
  <si>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</si>
  <si>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</si>
  <si>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</si>
  <si>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</si>
  <si>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</si>
  <si>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</si>
  <si>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</si>
  <si>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</si>
  <si>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</si>
  <si>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</si>
  <si>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</si>
  <si>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</si>
  <si>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</si>
  <si>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</si>
  <si>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</si>
  <si>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</si>
  <si>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</si>
  <si>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</si>
  <si>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</si>
  <si>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</si>
  <si>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</si>
  <si>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</si>
  <si>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</si>
  <si>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</si>
  <si>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</si>
  <si>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</si>
  <si>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</si>
  <si>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</si>
  <si>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</si>
  <si>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</si>
  <si>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</si>
  <si>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</si>
  <si>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</si>
  <si>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</si>
  <si>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</si>
  <si>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</si>
  <si>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</si>
  <si>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</si>
  <si>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</si>
  <si>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</si>
  <si>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</si>
  <si>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</si>
  <si>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</si>
  <si>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</si>
  <si>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</si>
  <si>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</si>
  <si>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</si>
  <si>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</si>
  <si>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</si>
  <si>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</si>
  <si>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</si>
  <si>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</si>
  <si>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</si>
  <si>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</si>
  <si>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</si>
  <si>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</si>
  <si>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</si>
  <si>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</si>
  <si>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</si>
  <si>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</si>
  <si>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</si>
  <si>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</si>
  <si>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</si>
  <si>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</si>
  <si>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</si>
  <si>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</si>
  <si>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</si>
  <si>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</si>
  <si>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</si>
  <si>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</si>
  <si>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</si>
  <si>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</si>
  <si>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</si>
  <si>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</si>
  <si>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</si>
  <si>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</si>
  <si>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</si>
  <si>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</si>
  <si>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</si>
  <si>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</si>
  <si>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</si>
  <si>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</si>
  <si>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</si>
  <si>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</si>
  <si>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</si>
  <si>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</si>
  <si>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</si>
  <si>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</si>
  <si>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</si>
  <si>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</si>
  <si>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</si>
  <si>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</si>
  <si>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</si>
  <si>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</si>
  <si>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</si>
  <si>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</si>
  <si>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</si>
  <si>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</si>
  <si>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</si>
  <si>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</si>
  <si>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</si>
  <si>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</si>
  <si>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</si>
  <si>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</si>
  <si>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</si>
  <si>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</si>
  <si>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</si>
  <si>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</si>
  <si>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</si>
  <si>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</si>
  <si>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</si>
  <si>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</si>
  <si>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</si>
  <si>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</si>
  <si>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</si>
  <si>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</si>
  <si>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</si>
  <si>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</si>
  <si>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</si>
  <si>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</si>
  <si>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</si>
  <si>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</si>
  <si>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</si>
  <si>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</si>
  <si>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</si>
  <si>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</si>
  <si>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</si>
  <si>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</si>
  <si>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</si>
  <si>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</si>
  <si>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</si>
  <si>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</si>
  <si>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</si>
  <si>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</si>
  <si>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</si>
  <si>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</si>
  <si>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</si>
  <si>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</si>
  <si>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</si>
  <si>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</si>
  <si>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</si>
  <si>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</si>
  <si>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</si>
  <si>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</si>
  <si>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</si>
  <si>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</si>
  <si>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</si>
  <si>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</si>
  <si>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</si>
  <si>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</si>
  <si>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</si>
  <si>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</si>
  <si>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</si>
  <si>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</si>
  <si>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</si>
  <si>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</si>
  <si>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</si>
  <si>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</si>
  <si>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</si>
  <si>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</si>
  <si>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</si>
  <si>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</si>
  <si>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</si>
  <si>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</si>
  <si>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</si>
  <si>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</si>
  <si>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</si>
  <si>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</si>
  <si>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</si>
  <si>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</si>
  <si>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</si>
  <si>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</si>
  <si>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</si>
  <si>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</si>
  <si>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</si>
  <si>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</si>
  <si>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</si>
  <si>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</si>
  <si>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</si>
  <si>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</si>
  <si>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</si>
  <si>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</si>
  <si>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</si>
  <si>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</si>
  <si>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</si>
  <si>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</si>
  <si>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</si>
  <si>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</si>
  <si>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</si>
  <si>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</si>
  <si>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</si>
  <si>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</si>
  <si>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</si>
  <si>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</si>
  <si>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</si>
  <si>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</si>
  <si>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</si>
  <si>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</si>
  <si>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</si>
  <si>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</si>
  <si>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</si>
  <si>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</si>
  <si>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</si>
  <si>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</si>
  <si>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</si>
  <si>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</si>
  <si>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</si>
  <si>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</si>
  <si>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</si>
  <si>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</si>
  <si>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</si>
  <si>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</si>
  <si>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</si>
  <si>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</si>
  <si>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</si>
  <si>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</si>
  <si>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</si>
  <si>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</si>
  <si>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</si>
  <si>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</si>
  <si>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</si>
  <si>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</si>
  <si>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</si>
  <si>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</si>
  <si>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</si>
  <si>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</si>
  <si>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</si>
  <si>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</si>
  <si>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</si>
  <si>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</si>
  <si>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</si>
  <si>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</si>
  <si>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</si>
  <si>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</si>
  <si>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</si>
  <si>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</si>
  <si>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</si>
  <si>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</si>
  <si>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</si>
  <si>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</si>
  <si>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</si>
  <si>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</si>
  <si>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</si>
  <si>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</si>
  <si>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</si>
  <si>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</si>
  <si>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</si>
  <si>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</si>
  <si>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</si>
  <si>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</si>
  <si>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</si>
  <si>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</si>
  <si>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</si>
  <si>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</si>
  <si>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</si>
  <si>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</si>
  <si>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</si>
  <si>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</si>
  <si>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</si>
  <si>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</si>
  <si>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</si>
  <si>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</si>
  <si>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</si>
  <si>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</si>
  <si>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</si>
  <si>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</si>
  <si>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</si>
  <si>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</si>
  <si>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</si>
  <si>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</si>
  <si>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</si>
  <si>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</si>
  <si>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</si>
  <si>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</si>
  <si>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</si>
  <si>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</si>
  <si>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</si>
  <si>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</si>
  <si>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</si>
  <si>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</si>
  <si>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</si>
  <si>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</si>
  <si>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</si>
  <si>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</si>
  <si>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</si>
  <si>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</si>
  <si>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</si>
  <si>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</si>
  <si>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</si>
  <si>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</si>
  <si>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</si>
  <si>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</si>
  <si>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</si>
  <si>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</si>
  <si>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</si>
  <si>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</si>
  <si>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</si>
  <si>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</si>
  <si>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</si>
  <si>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</si>
  <si>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</si>
  <si>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</si>
  <si>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</si>
  <si>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</si>
  <si>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</si>
  <si>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</si>
  <si>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</si>
  <si>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</si>
  <si>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</si>
  <si>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</si>
  <si>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</si>
  <si>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</si>
  <si>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</si>
  <si>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</si>
  <si>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</si>
  <si>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</si>
  <si>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</si>
  <si>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</si>
  <si>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</si>
  <si>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</si>
  <si>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</si>
  <si>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</si>
  <si>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</si>
  <si>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</si>
  <si>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</si>
  <si>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</si>
  <si>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</si>
  <si>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</si>
  <si>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</si>
  <si>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</si>
  <si>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</si>
  <si>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</si>
  <si>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</si>
  <si>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</si>
  <si>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</si>
  <si>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</si>
  <si>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</si>
  <si>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</si>
  <si>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</si>
  <si>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</si>
  <si>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</si>
  <si>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</si>
  <si>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</si>
  <si>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</si>
  <si>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</si>
  <si>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</si>
  <si>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</si>
  <si>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</si>
  <si>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</si>
  <si>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</si>
  <si>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</si>
  <si>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</si>
  <si>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</si>
  <si>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</si>
  <si>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</si>
  <si>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</si>
  <si>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</si>
  <si>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</si>
  <si>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</si>
  <si>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</si>
  <si>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</si>
  <si>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</si>
  <si>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</si>
  <si>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</si>
  <si>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</si>
  <si>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</si>
  <si>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</si>
  <si>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</si>
  <si>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</si>
  <si>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</si>
  <si>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</si>
  <si>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</si>
  <si>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</si>
  <si>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</si>
  <si>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</si>
  <si>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</si>
  <si>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</si>
  <si>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</si>
  <si>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</si>
  <si>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</si>
  <si>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</si>
  <si>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</si>
  <si>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</si>
  <si>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</si>
  <si>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</si>
  <si>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</si>
  <si>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</si>
  <si>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</si>
  <si>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</si>
  <si>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</si>
  <si>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</si>
  <si>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</si>
  <si>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</si>
  <si>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</si>
  <si>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</si>
  <si>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</si>
  <si>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</si>
  <si>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</si>
  <si>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</si>
  <si>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</si>
  <si>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</si>
  <si>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</si>
  <si>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</si>
  <si>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</si>
  <si>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</si>
  <si>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</si>
  <si>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</si>
  <si>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</si>
  <si>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</si>
  <si>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</si>
  <si>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</si>
  <si>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</si>
  <si>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</si>
  <si>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</si>
  <si>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</si>
  <si>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</si>
  <si>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</si>
  <si>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</si>
  <si>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</si>
  <si>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</si>
  <si>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</si>
  <si>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</si>
  <si>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</si>
  <si>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</si>
  <si>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</si>
  <si>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</si>
  <si>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</si>
  <si>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</si>
  <si>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</si>
  <si>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</si>
  <si>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</si>
  <si>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</si>
  <si>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</si>
  <si>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</si>
  <si>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</si>
  <si>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</si>
  <si>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</si>
  <si>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</si>
  <si>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</si>
  <si>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</si>
  <si>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</si>
  <si>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</si>
  <si>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</si>
  <si>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</si>
  <si>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</si>
  <si>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</si>
  <si>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</si>
  <si>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</si>
  <si>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</si>
  <si>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</si>
  <si>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</si>
  <si>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</si>
  <si>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</si>
  <si>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</si>
  <si>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</si>
  <si>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</si>
  <si>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</si>
  <si>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</si>
  <si>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</si>
  <si>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</si>
  <si>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</si>
  <si>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</si>
  <si>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</si>
  <si>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</si>
  <si>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</si>
  <si>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</si>
  <si>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</si>
  <si>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</si>
  <si>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</si>
  <si>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</si>
  <si>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</si>
  <si>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</si>
  <si>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</si>
  <si>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</si>
  <si>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</si>
  <si>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</si>
  <si>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</si>
  <si>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</si>
  <si>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</si>
  <si>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</si>
  <si>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</si>
  <si>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</si>
  <si>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</si>
  <si>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</si>
  <si>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</si>
  <si>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</si>
  <si>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</si>
  <si>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</si>
  <si>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</si>
  <si>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</si>
  <si>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</si>
  <si>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</si>
  <si>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</si>
  <si>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</si>
  <si>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</si>
  <si>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</si>
  <si>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</si>
  <si>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</si>
  <si>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</si>
  <si>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</si>
  <si>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</si>
  <si>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</si>
  <si>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</si>
  <si>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</si>
  <si>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</si>
  <si>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</si>
  <si>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</si>
  <si>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</si>
  <si>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</si>
  <si>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</si>
  <si>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</si>
  <si>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</si>
  <si>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</si>
  <si>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</si>
  <si>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</si>
  <si>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</si>
  <si>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</si>
  <si>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</si>
  <si>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</si>
  <si>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</si>
  <si>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</si>
  <si>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</si>
  <si>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</si>
  <si>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</si>
  <si>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</si>
  <si>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</si>
  <si>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</si>
  <si>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</si>
  <si>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</si>
  <si>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</si>
  <si>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</si>
  <si>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</si>
  <si>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</si>
  <si>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</si>
  <si>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</si>
  <si>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</si>
  <si>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</si>
  <si>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</si>
  <si>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</si>
  <si>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</si>
  <si>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</si>
  <si>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</si>
  <si>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</si>
  <si>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</si>
  <si>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</si>
  <si>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</si>
  <si>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</si>
  <si>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</si>
  <si>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</si>
  <si>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</si>
  <si>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</si>
  <si>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</si>
  <si>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</si>
  <si>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</si>
  <si>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</si>
  <si>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</si>
  <si>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</si>
  <si>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</si>
  <si>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</si>
  <si>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</si>
  <si>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</si>
  <si>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</si>
  <si>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</si>
  <si>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</si>
  <si>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</si>
  <si>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</si>
  <si>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</si>
  <si>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</si>
  <si>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</si>
  <si>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</si>
  <si>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</si>
  <si>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</si>
  <si>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</si>
  <si>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</si>
  <si>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</si>
  <si>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</si>
  <si>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</si>
  <si>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</si>
  <si>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</si>
  <si>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</si>
  <si>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</si>
  <si>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</si>
  <si>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</si>
  <si>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</si>
  <si>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</si>
  <si>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</si>
  <si>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</si>
  <si>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</si>
  <si>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</si>
  <si>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</si>
  <si>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</si>
  <si>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</si>
  <si>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</si>
  <si>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</si>
  <si>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</si>
  <si>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</si>
  <si>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</si>
  <si>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</si>
  <si>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</si>
  <si>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</si>
  <si>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</si>
  <si>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</si>
  <si>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</si>
  <si>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</si>
  <si>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</si>
  <si>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</si>
  <si>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</si>
  <si>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</si>
  <si>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</si>
  <si>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</si>
  <si>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</si>
  <si>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</si>
  <si>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</si>
  <si>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</si>
  <si>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</si>
  <si>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</si>
  <si>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</si>
  <si>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</si>
  <si>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</si>
  <si>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</si>
  <si>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</si>
  <si>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</si>
  <si>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</si>
  <si>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</si>
  <si>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</si>
  <si>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</si>
  <si>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</si>
  <si>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</si>
  <si>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</si>
  <si>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</si>
  <si>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</si>
  <si>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</si>
  <si>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</si>
  <si>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</si>
  <si>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</si>
  <si>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</si>
  <si>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</si>
  <si>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</si>
  <si>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</si>
  <si>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</si>
  <si>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</si>
  <si>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</si>
  <si>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</si>
  <si>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</si>
  <si>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</si>
  <si>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</si>
  <si>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</si>
  <si>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</si>
  <si>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</si>
  <si>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</si>
  <si>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</si>
  <si>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</si>
  <si>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</si>
  <si>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</si>
  <si>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</si>
  <si>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</si>
  <si>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</si>
  <si>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</si>
  <si>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</si>
  <si>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</si>
  <si>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</si>
  <si>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</si>
  <si>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</si>
  <si>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</si>
  <si>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</si>
  <si>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</si>
  <si>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</si>
  <si>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</si>
  <si>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</si>
  <si>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</si>
  <si>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</si>
  <si>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</si>
  <si>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</si>
  <si>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</si>
  <si>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</si>
  <si>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</si>
  <si>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</si>
  <si>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</si>
  <si>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</si>
  <si>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</si>
  <si>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</si>
  <si>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</si>
  <si>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</si>
  <si>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</si>
  <si>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</si>
  <si>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</si>
  <si>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</si>
  <si>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</si>
  <si>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</si>
  <si>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</si>
  <si>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</si>
  <si>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</si>
  <si>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</si>
  <si>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</si>
  <si>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</si>
  <si>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</si>
  <si>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</si>
  <si>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</si>
  <si>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</si>
  <si>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</si>
  <si>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</si>
  <si>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</si>
  <si>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</si>
  <si>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</si>
  <si>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</si>
  <si>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</si>
  <si>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</si>
  <si>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</si>
  <si>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</si>
  <si>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</si>
  <si>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</si>
  <si>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</si>
  <si>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</si>
  <si>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</si>
  <si>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</si>
  <si>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</si>
  <si>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</si>
  <si>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</si>
  <si>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</si>
  <si>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</si>
  <si>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</si>
  <si>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</si>
  <si>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</si>
  <si>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</si>
  <si>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</si>
  <si>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</si>
  <si>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</si>
  <si>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</si>
  <si>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</si>
  <si>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</si>
  <si>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</si>
  <si>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</si>
  <si>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</si>
  <si>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</si>
  <si>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</si>
  <si>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</si>
  <si>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</si>
  <si>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</si>
  <si>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</si>
  <si>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</si>
  <si>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</si>
  <si>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</si>
  <si>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</si>
  <si>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</si>
  <si>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</si>
  <si>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</si>
  <si>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</si>
  <si>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</si>
  <si>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</si>
  <si>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</si>
  <si>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</si>
  <si>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</si>
  <si>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</si>
  <si>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</si>
  <si>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</si>
  <si>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</si>
  <si>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</si>
  <si>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</si>
  <si>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</si>
  <si>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</si>
  <si>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</si>
  <si>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</si>
  <si>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</si>
  <si>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</si>
  <si>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</si>
  <si>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</si>
  <si>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</si>
  <si>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</si>
  <si>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</si>
  <si>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</si>
  <si>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</si>
  <si>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</si>
  <si>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</si>
  <si>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</si>
  <si>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</si>
  <si>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</si>
  <si>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</si>
  <si>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</si>
  <si>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</si>
  <si>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</si>
  <si>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</si>
  <si>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</si>
  <si>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</si>
  <si>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</si>
  <si>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</si>
  <si>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</si>
  <si>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</si>
  <si>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</si>
  <si>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</si>
  <si>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</si>
  <si>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</si>
  <si>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</si>
  <si>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</si>
  <si>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</si>
  <si>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</si>
  <si>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</si>
  <si>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</si>
  <si>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</si>
  <si>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</si>
  <si>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</si>
  <si>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</si>
  <si>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</si>
  <si>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</si>
  <si>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</si>
  <si>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</si>
  <si>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</si>
  <si>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</si>
  <si>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</si>
  <si>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</si>
  <si>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</si>
  <si>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</si>
  <si>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</si>
  <si>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</si>
  <si>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</si>
  <si>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</si>
  <si>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</si>
  <si>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</si>
  <si>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</si>
  <si>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</si>
  <si>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</si>
  <si>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</si>
  <si>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</si>
  <si>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</si>
  <si>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</si>
  <si>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</si>
  <si>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</si>
  <si>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</si>
  <si>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</si>
  <si>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</si>
  <si>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</si>
  <si>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</si>
  <si>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</si>
  <si>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</si>
  <si>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</si>
  <si>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</si>
  <si>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</si>
  <si>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</si>
  <si>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</si>
  <si>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</si>
  <si>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</si>
  <si>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</si>
  <si>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</si>
  <si>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</si>
  <si>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</si>
  <si>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</si>
  <si>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</si>
  <si>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</si>
  <si>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</si>
  <si>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</si>
  <si>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</si>
  <si>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</si>
  <si>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</si>
  <si>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</si>
  <si>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</si>
  <si>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</si>
  <si>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</si>
  <si>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</si>
  <si>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</si>
  <si>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</si>
  <si>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</si>
  <si>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</si>
  <si>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</si>
  <si>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</si>
  <si>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</si>
  <si>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</si>
  <si>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</si>
  <si>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</si>
  <si>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</si>
  <si>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</si>
  <si>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</si>
  <si>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</si>
  <si>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</si>
  <si>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</si>
  <si>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</si>
  <si>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</si>
  <si>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</si>
  <si>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</si>
  <si>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</si>
  <si>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</si>
  <si>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</si>
  <si>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</si>
  <si>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</si>
  <si>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</si>
  <si>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</si>
  <si>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</si>
  <si>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</si>
  <si>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</si>
  <si>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</si>
  <si>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</si>
  <si>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</si>
  <si>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</si>
  <si>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</si>
  <si>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</si>
  <si>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</si>
  <si>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</si>
  <si>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</si>
  <si>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</si>
  <si>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</si>
  <si>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</si>
  <si>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</si>
  <si>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</si>
  <si>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</si>
  <si>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</si>
  <si>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</si>
  <si>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</si>
  <si>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</si>
  <si>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</si>
  <si>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</si>
  <si>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</si>
  <si>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</si>
  <si>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</si>
  <si>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</si>
  <si>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</si>
  <si>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</si>
  <si>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</si>
  <si>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</si>
  <si>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</si>
  <si>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</si>
  <si>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</si>
  <si>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</si>
  <si>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</si>
  <si>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</si>
  <si>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</si>
  <si>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</si>
  <si>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</si>
  <si>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</si>
  <si>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</si>
  <si>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</si>
  <si>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</si>
  <si>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</si>
  <si>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</si>
  <si>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</si>
  <si>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</si>
  <si>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</si>
  <si>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</si>
  <si>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</si>
  <si>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</si>
  <si>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</si>
  <si>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</si>
  <si>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</si>
  <si>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</si>
  <si>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</si>
  <si>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</si>
  <si>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</si>
  <si>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</si>
  <si>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</si>
  <si>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</si>
  <si>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</si>
  <si>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</si>
  <si>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</si>
  <si>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</si>
  <si>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</si>
  <si>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</si>
  <si>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</si>
  <si>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</si>
  <si>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</si>
  <si>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</si>
  <si>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</si>
  <si>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</si>
  <si>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</si>
  <si>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</si>
  <si>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</si>
  <si>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</si>
  <si>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</si>
  <si>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</si>
  <si>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</si>
  <si>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</si>
  <si>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</si>
  <si>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</si>
  <si>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</si>
  <si>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</si>
  <si>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</si>
  <si>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</si>
  <si>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</si>
  <si>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</si>
  <si>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</si>
  <si>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</si>
  <si>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</si>
  <si>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</si>
  <si>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</si>
  <si>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</si>
  <si>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</si>
  <si>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</si>
  <si>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</si>
  <si>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</si>
  <si>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</si>
  <si>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</si>
  <si>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</si>
  <si>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</si>
  <si>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</si>
  <si>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</si>
  <si>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</si>
  <si>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</si>
  <si>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</si>
  <si>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</si>
  <si>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</si>
  <si>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</si>
  <si>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</si>
  <si>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</si>
  <si>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</si>
  <si>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</si>
  <si>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</si>
  <si>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</si>
  <si>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</si>
  <si>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</si>
  <si>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</si>
  <si>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</si>
  <si>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</si>
  <si>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</si>
  <si>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</si>
  <si>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</si>
  <si>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</si>
  <si>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</si>
  <si>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</si>
  <si>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</si>
  <si>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</si>
  <si>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</si>
  <si>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</si>
  <si>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</si>
  <si>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</si>
  <si>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</si>
  <si>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</si>
  <si>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</si>
  <si>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</si>
  <si>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</si>
  <si>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</si>
  <si>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</si>
  <si>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</si>
  <si>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</si>
  <si>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</si>
  <si>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</si>
  <si>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</si>
  <si>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</si>
  <si>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</si>
  <si>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</si>
  <si>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</si>
  <si>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</si>
  <si>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</si>
  <si>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</si>
  <si>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</si>
  <si>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</si>
  <si>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</si>
  <si>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</si>
  <si>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</si>
  <si>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</si>
  <si>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</si>
  <si>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</si>
  <si>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</si>
  <si>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</si>
  <si>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</si>
  <si>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</si>
  <si>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</si>
  <si>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</si>
  <si>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</si>
  <si>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</si>
  <si>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</si>
  <si>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</si>
  <si>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</si>
  <si>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</si>
  <si>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</si>
  <si>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</si>
  <si>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</si>
  <si>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</si>
  <si>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</si>
  <si>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</si>
  <si>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</si>
  <si>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</si>
  <si>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</si>
  <si>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</si>
  <si>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</si>
  <si>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</si>
  <si>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</si>
  <si>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</si>
  <si>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</si>
  <si>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</si>
  <si>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</si>
  <si>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</si>
  <si>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</si>
  <si>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</si>
  <si>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</si>
  <si>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</si>
  <si>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</si>
  <si>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</si>
  <si>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</si>
  <si>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</si>
  <si>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</si>
  <si>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</si>
  <si>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</si>
  <si>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</si>
  <si>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</si>
  <si>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</si>
  <si>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</si>
  <si>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</si>
  <si>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</si>
  <si>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</si>
  <si>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</si>
  <si>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</si>
  <si>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</si>
  <si>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</si>
  <si>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</si>
  <si>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</si>
  <si>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</si>
  <si>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</si>
  <si>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</si>
  <si>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</si>
  <si>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</si>
  <si>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</si>
  <si>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</si>
  <si>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</si>
  <si>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</si>
  <si>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</si>
  <si>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</si>
  <si>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</si>
  <si>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</si>
  <si>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</si>
  <si>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</si>
  <si>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</si>
  <si>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</si>
  <si>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</si>
  <si>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</si>
  <si>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</si>
  <si>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</si>
  <si>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</si>
  <si>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</si>
  <si>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</si>
  <si>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</si>
  <si>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</si>
  <si>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</si>
  <si>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</si>
  <si>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</si>
  <si>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</si>
  <si>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</si>
  <si>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</si>
  <si>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</si>
  <si>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</si>
  <si>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</si>
  <si>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</si>
  <si>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</si>
  <si>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</si>
  <si>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</si>
  <si>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</si>
  <si>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</si>
  <si>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</si>
  <si>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</si>
  <si>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</si>
  <si>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</si>
  <si>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</si>
  <si>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</si>
  <si>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</si>
  <si>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</si>
  <si>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</si>
  <si>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</si>
  <si>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</si>
  <si>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</si>
  <si>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</si>
  <si>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</si>
  <si>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</si>
  <si>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</si>
  <si>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</si>
  <si>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</si>
  <si>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</si>
  <si>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</si>
  <si>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</si>
  <si>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</si>
  <si>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</si>
  <si>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</si>
  <si>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</si>
  <si>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</si>
  <si>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</si>
  <si>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</si>
  <si>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</si>
  <si>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</si>
  <si>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</si>
  <si>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</si>
  <si>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</si>
  <si>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</si>
  <si>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</si>
  <si>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</si>
  <si>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</si>
  <si>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</si>
  <si>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</si>
  <si>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</si>
  <si>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</si>
  <si>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</si>
  <si>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</si>
  <si>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</si>
  <si>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</si>
  <si>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</si>
  <si>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</si>
  <si>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</si>
  <si>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</si>
  <si>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</si>
  <si>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</si>
  <si>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</si>
  <si>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</si>
  <si>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</si>
  <si>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</si>
  <si>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</si>
  <si>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</si>
  <si>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</si>
  <si>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</si>
  <si>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</si>
  <si>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</si>
  <si>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</si>
  <si>
    <t>BGFI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</si>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</sst>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/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/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/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/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/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>
        <f>+'Page de garde'!L35</f>
        <v>0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>
        <f>'Page de garde'!J46</f>
        <v>0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>
        <f>+'Page de garde'!H41</f>
        <v>0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>
        <f>'Page de garde'!N51</f>
        <v>0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0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43466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43830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0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44196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1483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1482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/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/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>
        <f>+J4</f>
        <v>0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>
        <f>+AD7</f>
        <v>0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1482</v>
      </c>
      <c r="R36" s="968"/>
      <c r="S36" s="968"/>
      <c r="T36" s="968"/>
      <c r="U36" s="968"/>
      <c r="V36" s="969"/>
      <c r="W36" s="95"/>
      <c r="X36" s="120"/>
      <c r="Y36" s="976">
        <v>3</v>
      </c>
      <c r="Z36" s="969"/>
      <c r="AA36" s="967">
        <v>4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1482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1398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1881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1882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1537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1539</v>
      </c>
      <c r="B3" s="783" t="s">
        <v>1540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1542</v>
      </c>
      <c r="B4" s="783" t="s">
        <v>1543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1544</v>
      </c>
      <c r="B5" s="783" t="s">
        <v>1545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1547</v>
      </c>
      <c r="B6" s="783" t="s">
        <v>1548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1549</v>
      </c>
      <c r="B7" s="783" t="s">
        <v>1550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1551</v>
      </c>
      <c r="B8" s="783" t="s">
        <v>1552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1553</v>
      </c>
      <c r="B9" s="783" t="s">
        <v>1555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1554</v>
      </c>
      <c r="B10" s="783" t="s">
        <v>1556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1557</v>
      </c>
      <c r="B11" s="783" t="s">
        <v>1560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1559</v>
      </c>
      <c r="B12" s="783" t="s">
        <v>1561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1562</v>
      </c>
      <c r="B13" s="783" t="s">
        <v>1565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1564</v>
      </c>
      <c r="B14" s="783" t="s">
        <v>1568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1567</v>
      </c>
      <c r="B15" s="783" t="s">
        <v>1571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1573</v>
      </c>
      <c r="B16" s="783" t="s">
        <v>1575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1574</v>
      </c>
      <c r="B17" s="783" t="s">
        <v>1578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1577</v>
      </c>
      <c r="B18" s="783" t="s">
        <v>1581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1580</v>
      </c>
      <c r="B19" s="783" t="s">
        <v>1582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1583</v>
      </c>
      <c r="B20" s="783" t="s">
        <v>1584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1587</v>
      </c>
      <c r="B21" s="783" t="s">
        <v>1589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1585</v>
      </c>
      <c r="B22" s="783" t="s">
        <v>1592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1588</v>
      </c>
      <c r="B23" s="783" t="s">
        <v>1590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1591</v>
      </c>
      <c r="B24" s="783" t="s">
        <v>1597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1599</v>
      </c>
      <c r="B25" s="783" t="s">
        <v>1601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1603</v>
      </c>
      <c r="B26" s="783" t="s">
        <v>1605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1594</v>
      </c>
      <c r="B27" s="783" t="s">
        <v>1608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1596</v>
      </c>
      <c r="B28" s="783" t="s">
        <v>1598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1600</v>
      </c>
      <c r="B29" s="783" t="s">
        <v>1613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1604</v>
      </c>
      <c r="B30" s="783" t="s">
        <v>1606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1607</v>
      </c>
      <c r="B31" s="783" t="s">
        <v>1618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1620</v>
      </c>
      <c r="B32" s="783" t="s">
        <v>1622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1612</v>
      </c>
      <c r="B33" s="783" t="s">
        <v>1625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1615</v>
      </c>
      <c r="B34" s="783" t="s">
        <v>1628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1617</v>
      </c>
      <c r="B35" s="783" t="s">
        <v>1631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1621</v>
      </c>
      <c r="B36" s="783" t="s">
        <v>1634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1624</v>
      </c>
      <c r="B37" s="783" t="s">
        <v>1637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1627</v>
      </c>
      <c r="B38" s="783" t="s">
        <v>1640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1630</v>
      </c>
      <c r="B39" s="783" t="s">
        <v>1632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1644</v>
      </c>
      <c r="B40" s="783" t="s">
        <v>1646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1633</v>
      </c>
      <c r="B41" s="783" t="s">
        <v>1648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1636</v>
      </c>
      <c r="B42" s="783" t="s">
        <v>1651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1639</v>
      </c>
      <c r="B43" s="783" t="s">
        <v>1654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1645</v>
      </c>
      <c r="B44" s="783" t="s">
        <v>1657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1659</v>
      </c>
      <c r="B45" s="783" t="s">
        <v>1661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1650</v>
      </c>
      <c r="B46" s="783" t="s">
        <v>1664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1653</v>
      </c>
      <c r="B47" s="783" t="s">
        <v>1667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1656</v>
      </c>
      <c r="B48" s="783" t="s">
        <v>1670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1660</v>
      </c>
      <c r="B49" s="783" t="s">
        <v>1673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1675</v>
      </c>
      <c r="B50" s="783" t="s">
        <v>1677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1663</v>
      </c>
      <c r="B51" s="783" t="s">
        <v>1680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1666</v>
      </c>
      <c r="B52" s="783" t="s">
        <v>1683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1669</v>
      </c>
      <c r="B53" s="783" t="s">
        <v>1686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1688</v>
      </c>
      <c r="B54" s="783" t="s">
        <v>1690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1672</v>
      </c>
      <c r="B55" s="783" t="s">
        <v>1693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1676</v>
      </c>
      <c r="B56" s="783" t="s">
        <v>1696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1679</v>
      </c>
      <c r="B57" s="783" t="s">
        <v>1681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1682</v>
      </c>
      <c r="B58" s="783" t="s">
        <v>1701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1703</v>
      </c>
      <c r="B59" s="783" t="s">
        <v>1705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1685</v>
      </c>
      <c r="B60" s="783" t="s">
        <v>1687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1689</v>
      </c>
      <c r="B61" s="783" t="s">
        <v>1691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1692</v>
      </c>
      <c r="B62" s="783" t="s">
        <v>1694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1695</v>
      </c>
      <c r="B63" s="783" t="s">
        <v>1714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1716</v>
      </c>
      <c r="B64" s="783" t="s">
        <v>1718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1700</v>
      </c>
      <c r="B65" s="783" t="s">
        <v>1702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1704</v>
      </c>
      <c r="B66" s="783" t="s">
        <v>1706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1707</v>
      </c>
      <c r="B67" s="783" t="s">
        <v>1708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1709</v>
      </c>
      <c r="B68" s="783" t="s">
        <v>1727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1711</v>
      </c>
      <c r="B69" s="783" t="s">
        <v>1730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1717</v>
      </c>
      <c r="B70" s="783" t="s">
        <v>1733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1735</v>
      </c>
      <c r="B71" s="783" t="s">
        <v>1737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1720</v>
      </c>
      <c r="B72" s="783" t="s">
        <v>1721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1722</v>
      </c>
      <c r="B73" s="783" t="s">
        <v>1723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1724</v>
      </c>
      <c r="B74" s="783" t="s">
        <v>1744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1746</v>
      </c>
      <c r="B75" s="783" t="s">
        <v>1748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1726</v>
      </c>
      <c r="B76" s="783" t="s">
        <v>1751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1729</v>
      </c>
      <c r="B77" s="783" t="s">
        <v>1754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1732</v>
      </c>
      <c r="B78" s="783" t="s">
        <v>1734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1758</v>
      </c>
      <c r="B79" s="783" t="s">
        <v>1760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1736</v>
      </c>
      <c r="B80" s="783" t="s">
        <v>1763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1739</v>
      </c>
      <c r="B81" s="783" t="s">
        <v>1766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1741</v>
      </c>
      <c r="B82" s="783" t="s">
        <v>1769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1771</v>
      </c>
      <c r="B83" s="783" t="s">
        <v>1773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1743</v>
      </c>
      <c r="B84" s="783" t="s">
        <v>1745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1747</v>
      </c>
      <c r="B85" s="783" t="s">
        <v>1778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1750</v>
      </c>
      <c r="B86" s="783" t="s">
        <v>1752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1782</v>
      </c>
      <c r="B87" s="783" t="s">
        <v>1784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1753</v>
      </c>
      <c r="B88" s="783" t="s">
        <v>1755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1756</v>
      </c>
      <c r="B89" s="783" t="s">
        <v>1757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1759</v>
      </c>
      <c r="B90" s="783" t="s">
        <v>1790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1762</v>
      </c>
      <c r="B91" s="783" t="s">
        <v>1764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1765</v>
      </c>
      <c r="B92" s="783" t="s">
        <v>1795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1797</v>
      </c>
      <c r="B93" s="783" t="s">
        <v>1799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1772</v>
      </c>
      <c r="B94" s="783" t="s">
        <v>1802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1775</v>
      </c>
      <c r="B95" s="783" t="s">
        <v>1805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1807</v>
      </c>
      <c r="B96" s="783" t="s">
        <v>1809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1777</v>
      </c>
      <c r="B97" s="783" t="s">
        <v>1812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1785</v>
      </c>
      <c r="B98" s="783" t="s">
        <v>1815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1787</v>
      </c>
      <c r="B99" s="783" t="s">
        <v>1788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1819</v>
      </c>
      <c r="B100" s="783" t="s">
        <v>1821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1789</v>
      </c>
      <c r="B101" s="783" t="s">
        <v>1824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1792</v>
      </c>
      <c r="B102" s="783" t="s">
        <v>1793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1828</v>
      </c>
      <c r="B103" s="783" t="s">
        <v>1830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1794</v>
      </c>
      <c r="B104" s="783" t="s">
        <v>1833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1835</v>
      </c>
      <c r="B105" s="783" t="s">
        <v>1796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1798</v>
      </c>
      <c r="B106" s="783" t="s">
        <v>1800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1801</v>
      </c>
      <c r="B107" s="783" t="s">
        <v>1803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1842</v>
      </c>
      <c r="B108" s="783" t="s">
        <v>1844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1846</v>
      </c>
      <c r="B109" s="783" t="s">
        <v>1848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1850</v>
      </c>
      <c r="B110" s="783" t="s">
        <v>1852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1814</v>
      </c>
      <c r="B111" s="783" t="s">
        <v>1855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1817</v>
      </c>
      <c r="B112" s="783" t="s">
        <v>1818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1859</v>
      </c>
      <c r="B113" s="783" t="s">
        <v>1860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1820</v>
      </c>
      <c r="B114" s="783" t="s">
        <v>1861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1862</v>
      </c>
      <c r="B115" s="783" t="s">
        <v>1863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1864</v>
      </c>
      <c r="B116" s="783" t="s">
        <v>1865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1866</v>
      </c>
      <c r="B117" s="783" t="s">
        <v>1867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1823</v>
      </c>
      <c r="B118" s="783" t="s">
        <v>1825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1868</v>
      </c>
      <c r="B119" s="783" t="s">
        <v>1869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1826</v>
      </c>
      <c r="B120" s="783" t="s">
        <v>1870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1829</v>
      </c>
      <c r="B121" s="783" t="s">
        <v>1831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1836</v>
      </c>
      <c r="B122" s="783" t="s">
        <v>1837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1871</v>
      </c>
      <c r="B123" s="783" t="s">
        <v>1872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1873</v>
      </c>
      <c r="B124" s="783" t="s">
        <v>1874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1843</v>
      </c>
      <c r="B125" s="783" t="s">
        <v>1875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1847</v>
      </c>
      <c r="B126" s="783" t="s">
        <v>1876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1851</v>
      </c>
      <c r="B127" s="783" t="s">
        <v>1877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1854</v>
      </c>
      <c r="B128" s="783" t="s">
        <v>1878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1857</v>
      </c>
      <c r="B129" s="783" t="s">
        <v>1879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1537</v>
      </c>
      <c r="B2" s="795" t="s">
        <v>1538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1539</v>
      </c>
      <c r="B3" s="795" t="s">
        <v>1541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1542</v>
      </c>
      <c r="B4" s="795" t="s">
        <v>1543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1544</v>
      </c>
      <c r="B5" s="795" t="s">
        <v>1546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1547</v>
      </c>
      <c r="B6" s="795" t="s">
        <v>1548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1549</v>
      </c>
      <c r="B7" s="795" t="s">
        <v>1550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1551</v>
      </c>
      <c r="B8" s="795" t="s">
        <v>1552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1554</v>
      </c>
      <c r="B9" s="795" t="s">
        <v>1556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1557</v>
      </c>
      <c r="B10" s="795" t="s">
        <v>1558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1559</v>
      </c>
      <c r="B11" s="795" t="s">
        <v>1561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1562</v>
      </c>
      <c r="B12" s="795" t="s">
        <v>1563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1564</v>
      </c>
      <c r="B13" s="795" t="s">
        <v>1566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1567</v>
      </c>
      <c r="B14" s="795" t="s">
        <v>1569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1570</v>
      </c>
      <c r="B15" s="795" t="s">
        <v>1572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1574</v>
      </c>
      <c r="B16" s="795" t="s">
        <v>1576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1577</v>
      </c>
      <c r="B17" s="795" t="s">
        <v>1579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1580</v>
      </c>
      <c r="B18" s="795" t="s">
        <v>1582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1583</v>
      </c>
      <c r="B19" s="795" t="s">
        <v>1584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1585</v>
      </c>
      <c r="B20" s="795" t="s">
        <v>1586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1588</v>
      </c>
      <c r="B21" s="795" t="s">
        <v>1590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1591</v>
      </c>
      <c r="B22" s="795" t="s">
        <v>1593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1594</v>
      </c>
      <c r="B23" s="795" t="s">
        <v>1595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1596</v>
      </c>
      <c r="B24" s="795" t="s">
        <v>1598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1600</v>
      </c>
      <c r="B25" s="795" t="s">
        <v>1602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1604</v>
      </c>
      <c r="B26" s="795" t="s">
        <v>1606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1607</v>
      </c>
      <c r="B27" s="795" t="s">
        <v>1609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1610</v>
      </c>
      <c r="B28" s="795" t="s">
        <v>1611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1612</v>
      </c>
      <c r="B29" s="795" t="s">
        <v>1614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1615</v>
      </c>
      <c r="B30" s="795" t="s">
        <v>1616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1617</v>
      </c>
      <c r="B31" s="795" t="s">
        <v>1619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1621</v>
      </c>
      <c r="B32" s="795" t="s">
        <v>1623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1624</v>
      </c>
      <c r="B33" s="795" t="s">
        <v>1626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1627</v>
      </c>
      <c r="B34" s="795" t="s">
        <v>1629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1630</v>
      </c>
      <c r="B35" s="795" t="s">
        <v>1632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1633</v>
      </c>
      <c r="B36" s="795" t="s">
        <v>1635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1636</v>
      </c>
      <c r="B37" s="795" t="s">
        <v>1638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1639</v>
      </c>
      <c r="B38" s="795" t="s">
        <v>1641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1642</v>
      </c>
      <c r="B39" s="795" t="s">
        <v>1643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1645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1647</v>
      </c>
      <c r="B41" s="795" t="s">
        <v>1649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1650</v>
      </c>
      <c r="B42" s="795" t="s">
        <v>1652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1653</v>
      </c>
      <c r="B43" s="795" t="s">
        <v>1655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1656</v>
      </c>
      <c r="B44" s="795" t="s">
        <v>1658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1660</v>
      </c>
      <c r="B45" s="795" t="s">
        <v>1662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1663</v>
      </c>
      <c r="B46" s="795" t="s">
        <v>1665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1666</v>
      </c>
      <c r="B47" s="795" t="s">
        <v>1668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1669</v>
      </c>
      <c r="B48" s="795" t="s">
        <v>1671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1672</v>
      </c>
      <c r="B49" s="795" t="s">
        <v>1674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1676</v>
      </c>
      <c r="B50" s="795" t="s">
        <v>1678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1679</v>
      </c>
      <c r="B51" s="795" t="s">
        <v>1681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1682</v>
      </c>
      <c r="B52" s="795" t="s">
        <v>1684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1685</v>
      </c>
      <c r="B53" s="795" t="s">
        <v>1687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1689</v>
      </c>
      <c r="B54" s="795" t="s">
        <v>1691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1692</v>
      </c>
      <c r="B55" s="795" t="s">
        <v>1694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1695</v>
      </c>
      <c r="B56" s="795" t="s">
        <v>1697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1698</v>
      </c>
      <c r="B57" s="795" t="s">
        <v>1699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1700</v>
      </c>
      <c r="B58" s="795" t="s">
        <v>1702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1704</v>
      </c>
      <c r="B59" s="795" t="s">
        <v>1706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1707</v>
      </c>
      <c r="B60" s="795" t="s">
        <v>1708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1709</v>
      </c>
      <c r="B61" s="795" t="s">
        <v>1710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1711</v>
      </c>
      <c r="B62" s="795" t="s">
        <v>1712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1713</v>
      </c>
      <c r="B63" s="795" t="s">
        <v>1715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1717</v>
      </c>
      <c r="B64" s="795" t="s">
        <v>1719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1720</v>
      </c>
      <c r="B65" s="795" t="s">
        <v>1721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1722</v>
      </c>
      <c r="B66" s="795" t="s">
        <v>1723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1724</v>
      </c>
      <c r="B67" s="795" t="s">
        <v>1725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1726</v>
      </c>
      <c r="B68" s="795" t="s">
        <v>1728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1729</v>
      </c>
      <c r="B69" s="795" t="s">
        <v>1731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1732</v>
      </c>
      <c r="B70" s="795" t="s">
        <v>1734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1736</v>
      </c>
      <c r="B71" s="795" t="s">
        <v>1738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1739</v>
      </c>
      <c r="B72" s="795" t="s">
        <v>1740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1741</v>
      </c>
      <c r="B73" s="795" t="s">
        <v>1742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1743</v>
      </c>
      <c r="B74" s="795" t="s">
        <v>1745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1747</v>
      </c>
      <c r="B75" s="795" t="s">
        <v>1749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1750</v>
      </c>
      <c r="B76" s="795" t="s">
        <v>1752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1753</v>
      </c>
      <c r="B77" s="795" t="s">
        <v>1755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1756</v>
      </c>
      <c r="B78" s="795" t="s">
        <v>1757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1759</v>
      </c>
      <c r="B79" s="795" t="s">
        <v>1761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1762</v>
      </c>
      <c r="B80" s="795" t="s">
        <v>1764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1765</v>
      </c>
      <c r="B81" s="795" t="s">
        <v>1767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1768</v>
      </c>
      <c r="B82" s="795" t="s">
        <v>1770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1772</v>
      </c>
      <c r="B83" s="795" t="s">
        <v>1774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1775</v>
      </c>
      <c r="B84" s="795" t="s">
        <v>1776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1777</v>
      </c>
      <c r="B85" s="795" t="s">
        <v>1779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1780</v>
      </c>
      <c r="B86" s="795" t="s">
        <v>1781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1783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1785</v>
      </c>
      <c r="B88" s="795" t="s">
        <v>1786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1787</v>
      </c>
      <c r="B89" s="795" t="s">
        <v>1788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1789</v>
      </c>
      <c r="B90" s="795" t="s">
        <v>1791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1792</v>
      </c>
      <c r="B91" s="795" t="s">
        <v>1793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1794</v>
      </c>
      <c r="B92" s="795" t="s">
        <v>1796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1798</v>
      </c>
      <c r="B93" s="795" t="s">
        <v>1800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1801</v>
      </c>
      <c r="B94" s="795" t="s">
        <v>1803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1804</v>
      </c>
      <c r="B95" s="795" t="s">
        <v>1806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1808</v>
      </c>
      <c r="B96" s="795" t="s">
        <v>1810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1811</v>
      </c>
      <c r="B97" s="795" t="s">
        <v>1813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1814</v>
      </c>
      <c r="B98" s="795" t="s">
        <v>1816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1817</v>
      </c>
      <c r="B99" s="795" t="s">
        <v>1818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1820</v>
      </c>
      <c r="B100" s="795" t="s">
        <v>1822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1823</v>
      </c>
      <c r="B101" s="795" t="s">
        <v>1825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1826</v>
      </c>
      <c r="B102" s="795" t="s">
        <v>1827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1829</v>
      </c>
      <c r="B103" s="795" t="s">
        <v>1831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1832</v>
      </c>
      <c r="B104" s="795" t="s">
        <v>1834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1836</v>
      </c>
      <c r="B105" s="795" t="s">
        <v>1837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1838</v>
      </c>
      <c r="B106" s="795" t="s">
        <v>1839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1840</v>
      </c>
      <c r="B107" s="795" t="s">
        <v>1841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1843</v>
      </c>
      <c r="B108" s="795" t="s">
        <v>1845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1847</v>
      </c>
      <c r="B109" s="795" t="s">
        <v>1849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1851</v>
      </c>
      <c r="B110" s="795" t="s">
        <v>1853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1854</v>
      </c>
      <c r="B111" s="795" t="s">
        <v>1856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1857</v>
      </c>
      <c r="B112" s="795" t="s">
        <v>1858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>
        <f>'Fiche de renseignement R1'!$J$4</f>
        <v>0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>
        <f>'Fiche de renseignement R1'!J7</f>
        <v>0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>
        <f>'Fiche de renseignement R1'!AD7</f>
        <v>0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>
        <f>+'Fiche de renseignement R1'!J10</f>
        <v>0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0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/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16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/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>
        <v>3</v>
      </c>
      <c r="E33" s="490">
        <v>0</v>
      </c>
      <c r="F33" s="490">
        <v>0</v>
      </c>
      <c r="G33" s="490">
        <v>0</v>
      </c>
      <c r="H33" s="490">
        <v>2</v>
      </c>
      <c r="I33" s="490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f>IFERROR(+L33/$L$59,0)</f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87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>
        <f>'Fiche de renseignement R1'!$J$4</f>
        <v>0</v>
      </c>
      <c r="C3" s="990"/>
      <c r="D3" s="990"/>
      <c r="E3" s="990"/>
      <c r="F3" s="990"/>
    </row>
    <row r="4" spans="1:6" ht="17.1" customHeight="1">
      <c r="A4" s="138" t="s">
        <v>27</v>
      </c>
      <c r="B4" s="1007">
        <f>'Activités de l''entreprise R2'!B6</f>
        <v>0</v>
      </c>
      <c r="C4" s="1025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1488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/>
      <c r="B32" s="121"/>
      <c r="C32" s="1029"/>
      <c r="D32" s="1030"/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>
        <f>'Fiche de renseignement R1'!$J$4</f>
        <v>0</v>
      </c>
      <c r="C2" s="648"/>
      <c r="D2" s="150" t="s">
        <v>464</v>
      </c>
      <c r="E2" s="1038">
        <f>+'Fiche de renseignement R1'!$V$10</f>
        <v>0</v>
      </c>
      <c r="F2" s="1039"/>
    </row>
    <row r="3" spans="1:6" ht="13.8">
      <c r="A3" s="1044" t="s">
        <v>466</v>
      </c>
      <c r="B3" s="1042">
        <f>+'Fiche de renseignement R1'!$J$10</f>
        <v>0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>
        <f>'Fiche de renseignement R1'!$J$4</f>
        <v>0</v>
      </c>
      <c r="E3" s="1057"/>
      <c r="F3" s="1057"/>
      <c r="G3" s="1057"/>
      <c r="I3" s="150" t="s">
        <v>464</v>
      </c>
      <c r="J3" s="1060">
        <f>+'Fiche de renseignement R1'!$V$10</f>
        <v>0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>
        <f>+'Fiche de renseignement R1'!$J$10</f>
        <v>0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31/12/1900</v>
      </c>
      <c r="E6" s="1054"/>
      <c r="F6" s="1055"/>
      <c r="G6" s="568" t="str">
        <f>IFERROR("Exercice au 31/12/"&amp;YEAR('Fiche de renseignement R1'!Q20),"Exercice au 31/12/N-1")</f>
        <v>Exercice au 31/12/2020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31/12/1900</v>
      </c>
      <c r="L6" s="569" t="str">
        <f>IFERROR("Exercice au 31/12/"&amp;YEAR('Fiche de renseignement R1'!Q20),"Exercice au 31/12/N-1")</f>
        <v>Exercice au 31/12/2020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50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1" t="s">
        <v>466</v>
      </c>
      <c r="B4" s="634">
        <f>+'Fiche de renseignement R1'!$J$10</f>
        <v>0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31/12/1900</v>
      </c>
      <c r="F6" s="46" t="str">
        <f>IFERROR("31/12/"&amp;YEAR('Fiche de renseignement R1'!Q20),"Exercice au 31/12/N-1")</f>
        <v>31/12/2020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>
        <f>'Fiche de renseignement R1'!$J$4</f>
        <v>0</v>
      </c>
      <c r="C3" s="193"/>
      <c r="D3" s="193" t="s">
        <v>464</v>
      </c>
      <c r="E3" s="1038">
        <f>+'Fiche de renseignement R1'!$V$10</f>
        <v>0</v>
      </c>
      <c r="F3" s="1039"/>
    </row>
    <row r="4" spans="1:6" s="150" customFormat="1" ht="31.05" customHeight="1">
      <c r="A4" s="172" t="s">
        <v>466</v>
      </c>
      <c r="B4" s="634">
        <f>+'Fiche de renseignement R1'!$J$10</f>
        <v>0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31/12/1900</v>
      </c>
      <c r="F6" s="667" t="str">
        <f>IFERROR("31/12/"&amp;YEAR('Fiche de renseignement R1'!Q20),"Exercice au 31/12/N-1")</f>
        <v>31/12/2020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>
        <f>'Fiche de renseignement R1'!$J$4</f>
        <v>0</v>
      </c>
      <c r="C3" s="1067"/>
      <c r="D3" s="635" t="s">
        <v>464</v>
      </c>
      <c r="E3" s="1038">
        <f>+'Fiche de renseignement R1'!$V$10</f>
        <v>0</v>
      </c>
      <c r="F3" s="1039"/>
    </row>
    <row r="4" spans="1:6" ht="15" customHeight="1">
      <c r="A4" s="1057" t="s">
        <v>466</v>
      </c>
      <c r="B4" s="1059">
        <f>+'Fiche de renseignement R1'!$J$10</f>
        <v>0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>
        <f>'Fiche de renseignement R1'!$J$4</f>
        <v>0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>
        <f>+'Note 1'!B4</f>
        <v>0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>
        <f>'Fiche de renseignement R1'!$J$4</f>
        <v>0</v>
      </c>
      <c r="C3" s="1103"/>
      <c r="G3" s="165" t="s">
        <v>464</v>
      </c>
      <c r="H3" s="1100">
        <f>+'Note 1'!E3</f>
        <v>0</v>
      </c>
      <c r="I3" s="1101"/>
    </row>
    <row r="4" spans="1:9" ht="15" customHeight="1">
      <c r="A4" s="150" t="s">
        <v>466</v>
      </c>
      <c r="B4" s="1102">
        <f>+'Note 1'!B4</f>
        <v>0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>
        <f>'Fiche de renseignement R1'!$J$4</f>
        <v>0</v>
      </c>
      <c r="C3" s="1106"/>
      <c r="D3" s="640" t="s">
        <v>464</v>
      </c>
      <c r="E3" s="308">
        <f>+'Note 1'!E3</f>
        <v>0</v>
      </c>
      <c r="F3" s="160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>
        <f>'Fiche de renseignement R1'!$J$4</f>
        <v>0</v>
      </c>
      <c r="C3" s="1103"/>
      <c r="D3" s="635" t="s">
        <v>464</v>
      </c>
      <c r="E3" s="1100">
        <f>+'Note 1'!E3</f>
        <v>0</v>
      </c>
      <c r="F3" s="1101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49">
        <f>+'Note 1'!E3</f>
        <v>0</v>
      </c>
    </row>
    <row r="4" spans="1:4" ht="18" customHeight="1">
      <c r="A4" s="1057" t="s">
        <v>466</v>
      </c>
      <c r="B4" s="1107">
        <f>+'Note 1'!B4</f>
        <v>0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>
        <f>'Fiche de renseignement R1'!$J$4</f>
        <v>0</v>
      </c>
      <c r="C3" s="1103"/>
      <c r="E3" s="640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1900</v>
      </c>
      <c r="C8" s="1152"/>
      <c r="D8" s="1151">
        <f>IFERROR(YEAR('Fiche de renseignement R1'!Q20),"Annee N-1")</f>
        <v>2020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1900</v>
      </c>
      <c r="C22" s="1141"/>
      <c r="D22" s="1140">
        <f>IFERROR(YEAR('Fiche de renseignement R1'!Q20),"Annee N-1")</f>
        <v>2020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38">
        <f>+'Note 1'!B4</f>
        <v>0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1900</v>
      </c>
      <c r="C7" s="1087">
        <f>IFERROR(YEAR('Fiche de renseignement R1'!Q20),"Annee N-1")</f>
        <v>2020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>
        <f>'Fiche de renseignement R1'!$J$4</f>
        <v>0</v>
      </c>
      <c r="C3" s="1106"/>
      <c r="E3" s="636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626">
        <f>+'Note 1'!E3</f>
        <v>0</v>
      </c>
    </row>
    <row r="4" spans="1:4" ht="15" customHeight="1">
      <c r="A4" s="150" t="s">
        <v>466</v>
      </c>
      <c r="B4" s="627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070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50" t="s">
        <v>466</v>
      </c>
      <c r="B4" s="1102">
        <f>+'Note 1'!B4</f>
        <v>0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2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/>
      <c r="B10" s="153"/>
      <c r="C10" s="1179"/>
      <c r="D10" s="1180"/>
      <c r="E10" s="625"/>
      <c r="F10" s="625">
        <f>IFERROR(E10/G7,0)</f>
        <v>0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0</v>
      </c>
      <c r="F19" s="697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>
        <f>'Fiche de renseignement R1'!$J$4</f>
        <v>0</v>
      </c>
      <c r="C3" s="1103"/>
      <c r="E3" s="165" t="s">
        <v>464</v>
      </c>
      <c r="F3" s="1100">
        <f>+'Note 1'!E3</f>
        <v>0</v>
      </c>
      <c r="G3" s="1100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1900</v>
      </c>
      <c r="C7" s="1141"/>
      <c r="D7" s="1140">
        <f>IFERROR(YEAR('Fiche de renseignement R1'!Q20),"Annee N-1")</f>
        <v>2020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E3" s="1200" t="s">
        <v>464</v>
      </c>
      <c r="F3" s="1200"/>
      <c r="G3" s="1198">
        <f>+'Note 1'!E3</f>
        <v>0</v>
      </c>
      <c r="H3" s="1198"/>
    </row>
    <row r="4" spans="1:8" ht="15" customHeight="1">
      <c r="A4" s="1057" t="s">
        <v>466</v>
      </c>
      <c r="B4" s="1107">
        <f>+'Note 1'!B4</f>
        <v>0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>
        <f>'Fiche de renseignement R1'!$J$4</f>
        <v>0</v>
      </c>
      <c r="C3" s="1201"/>
      <c r="E3" s="642" t="s">
        <v>464</v>
      </c>
      <c r="F3" s="1085">
        <f>+'Note 1'!E3</f>
        <v>0</v>
      </c>
      <c r="G3" s="1085"/>
    </row>
    <row r="4" spans="1:7" ht="15" customHeight="1">
      <c r="A4" s="1057" t="s">
        <v>466</v>
      </c>
      <c r="B4" s="1107">
        <f>+'Note 1'!B4</f>
        <v>0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1900</v>
      </c>
      <c r="D7" s="1087">
        <f>IFERROR(YEAR('Fiche de renseignement R1'!Q20),"Annee N-1")</f>
        <v>2020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>
        <f>'Fiche de renseignement R1'!$J$4</f>
        <v>0</v>
      </c>
      <c r="C3" s="1108"/>
      <c r="D3" s="193"/>
      <c r="E3" s="1040" t="s">
        <v>464</v>
      </c>
      <c r="F3" s="1040"/>
      <c r="G3" s="1198">
        <f>+'Note 1'!E3</f>
        <v>0</v>
      </c>
      <c r="H3" s="1198"/>
    </row>
    <row r="4" spans="1:8" ht="15" customHeight="1">
      <c r="A4" s="150" t="s">
        <v>466</v>
      </c>
      <c r="B4" s="1102">
        <f>+'Note 1'!B4</f>
        <v>0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>
        <f>'Fiche de renseignement R1'!$J$4</f>
        <v>0</v>
      </c>
      <c r="C3" s="1103"/>
      <c r="D3" s="193" t="s">
        <v>464</v>
      </c>
      <c r="E3" s="684">
        <f>+'Note 1'!E3</f>
        <v>0</v>
      </c>
      <c r="F3" s="658"/>
    </row>
    <row r="4" spans="1:6" ht="15" customHeight="1">
      <c r="A4" s="1057" t="s">
        <v>466</v>
      </c>
      <c r="B4" s="1107">
        <f>+'Note 1'!B4</f>
        <v>0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1900</v>
      </c>
      <c r="C8" s="1095"/>
      <c r="D8" s="1093">
        <f>IFERROR(YEAR('Fiche de renseignement R1'!Q20),"Annee N-1")</f>
        <v>2020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1900</v>
      </c>
      <c r="C22" s="1095"/>
      <c r="D22" s="1093">
        <f>IFERROR(YEAR('Fiche de renseignement R1'!Q20),"Annee N-1")</f>
        <v>2020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1900</v>
      </c>
      <c r="D36" s="1095"/>
      <c r="E36" s="1093">
        <f>IFERROR(YEAR('Fiche de renseignement R1'!Q20),"Annee N-1")</f>
        <v>2020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>
        <f>'Fiche de renseignement R1'!$J$4</f>
        <v>0</v>
      </c>
      <c r="C3" s="706"/>
      <c r="D3" s="703" t="s">
        <v>1454</v>
      </c>
      <c r="E3" s="856">
        <f>+'Note 1'!E3</f>
        <v>0</v>
      </c>
    </row>
    <row r="4" spans="1:5" ht="15" customHeight="1">
      <c r="A4" s="150" t="s">
        <v>466</v>
      </c>
      <c r="B4" s="705">
        <f>+'Note 1'!B4</f>
        <v>0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2020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1900</v>
      </c>
      <c r="C17" s="1095"/>
      <c r="D17" s="1212">
        <f>IFERROR(YEAR('Fiche de renseignement R1'!Q20),"Annee N-1")</f>
        <v>2020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>
        <f>'Fiche de renseignement R1'!$J$4</f>
        <v>0</v>
      </c>
      <c r="C3" s="703" t="s">
        <v>464</v>
      </c>
      <c r="D3" s="322">
        <f>+'Note 1'!E3</f>
        <v>0</v>
      </c>
    </row>
    <row r="4" spans="1:4" ht="20.4" customHeight="1">
      <c r="A4" s="193" t="s">
        <v>466</v>
      </c>
      <c r="B4" s="650">
        <f>+'Note 1'!B4</f>
        <v>0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1900</v>
      </c>
      <c r="D7" s="159">
        <f>IFERROR(YEAR('Fiche de renseignement R1'!Q20),"Annee N-1")</f>
        <v>2020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>
        <f>'Fiche de renseignement R1'!$J$4</f>
        <v>0</v>
      </c>
      <c r="C3" s="1103"/>
      <c r="D3" s="1040" t="s">
        <v>464</v>
      </c>
      <c r="E3" s="1040"/>
      <c r="F3" s="1085">
        <f>+'Note 1'!E3</f>
        <v>0</v>
      </c>
      <c r="G3" s="1085"/>
    </row>
    <row r="4" spans="1:7" s="193" customFormat="1" ht="21" customHeight="1">
      <c r="A4" s="193" t="s">
        <v>466</v>
      </c>
      <c r="B4" s="1222">
        <f>+'Note 1'!B4</f>
        <v>0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>
        <f>'Fiche de renseignement R1'!$J$4</f>
        <v>0</v>
      </c>
      <c r="C3" s="1103"/>
      <c r="F3" s="703" t="s">
        <v>464</v>
      </c>
      <c r="G3" s="1085">
        <f>+'Note 1'!E3</f>
        <v>0</v>
      </c>
      <c r="H3" s="1085"/>
    </row>
    <row r="4" spans="1:8" s="193" customFormat="1" ht="21" customHeight="1">
      <c r="A4" s="193" t="s">
        <v>466</v>
      </c>
      <c r="B4" s="1222">
        <f>+'Note 1'!B4</f>
        <v>0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>
        <f>'Fiche de renseignement R1'!$J$4</f>
        <v>0</v>
      </c>
      <c r="C3" s="1103"/>
      <c r="D3" s="379"/>
      <c r="E3" s="1057" t="s">
        <v>464</v>
      </c>
      <c r="F3" s="1057"/>
      <c r="G3" s="1100">
        <f>+'Note 1'!E3</f>
        <v>0</v>
      </c>
      <c r="H3" s="1100"/>
    </row>
    <row r="4" spans="1:8" ht="15" customHeight="1">
      <c r="A4" s="150" t="s">
        <v>466</v>
      </c>
      <c r="B4" s="1102">
        <f>+'Note 1'!B4</f>
        <v>0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1900</v>
      </c>
      <c r="C6" s="1087">
        <f>IFERROR(YEAR('Fiche de renseignement R1'!Q20),"Annee N-1")</f>
        <v>2020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5">
        <f>IFERROR(YEAR('Fiche de renseignement R1'!Q20),"Annee N-1")</f>
        <v>2020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1900</v>
      </c>
      <c r="C6" s="1170">
        <f>IFERROR(YEAR('Fiche de renseignement R1'!Q20),"Annee N-1")</f>
        <v>2020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>
        <f>'Fiche de renseignement R1'!$J$4</f>
        <v>0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0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>
        <f>+'Note 1'!B4</f>
        <v>0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>
        <f>'Fiche de renseignement R1'!$J$4</f>
        <v>0</v>
      </c>
      <c r="C3" s="1106"/>
      <c r="G3" s="150" t="s">
        <v>464</v>
      </c>
      <c r="H3" s="1100">
        <f>+'Note 1'!E3</f>
        <v>0</v>
      </c>
      <c r="I3" s="1101"/>
    </row>
    <row r="4" spans="1:9" s="150" customFormat="1" ht="15" customHeight="1">
      <c r="A4" s="1057" t="s">
        <v>466</v>
      </c>
      <c r="B4" s="1107">
        <f>+'Note 1'!B4</f>
        <v>0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>
        <f>'Fiche de renseignement R1'!$J$4</f>
        <v>0</v>
      </c>
      <c r="C3" s="635" t="s">
        <v>464</v>
      </c>
      <c r="D3" s="850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>
        <f>'Fiche de renseignement R1'!$J$4</f>
        <v>0</v>
      </c>
      <c r="C3" s="635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1900</v>
      </c>
      <c r="C6" s="1252">
        <f>IFERROR(YEAR('Fiche de renseignement R1'!Q20),"Annee N-1")</f>
        <v>2020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>
        <f>'Fiche de renseignement R1'!$J$4</f>
        <v>0</v>
      </c>
      <c r="C3" s="1106"/>
      <c r="D3" s="150" t="s">
        <v>464</v>
      </c>
      <c r="E3" s="1100">
        <f>+'Note 1'!E3</f>
        <v>0</v>
      </c>
      <c r="F3" s="1101"/>
    </row>
    <row r="4" spans="1:6" s="150" customFormat="1" ht="15" customHeight="1">
      <c r="A4" s="150" t="s">
        <v>466</v>
      </c>
      <c r="B4" s="1102">
        <f>+'Note 1'!B4</f>
        <v>0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J3" s="1040" t="s">
        <v>464</v>
      </c>
      <c r="K3" s="1040"/>
      <c r="L3" s="1100">
        <f>+'Note 1'!E3</f>
        <v>0</v>
      </c>
      <c r="M3" s="1101"/>
    </row>
    <row r="4" spans="1:13" s="150" customFormat="1" ht="15" customHeight="1">
      <c r="A4" s="150" t="s">
        <v>466</v>
      </c>
      <c r="B4" s="1107">
        <f>+'Note 1'!B4</f>
        <v>0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>
        <f>'Fiche de renseignement R1'!$J$4</f>
        <v>0</v>
      </c>
      <c r="C3" s="1103"/>
      <c r="D3" s="1103"/>
      <c r="F3" s="1290" t="s">
        <v>464</v>
      </c>
      <c r="G3" s="1290"/>
      <c r="H3" s="1100">
        <f>+'Note 1'!E3</f>
        <v>0</v>
      </c>
      <c r="I3" s="1101"/>
    </row>
    <row r="4" spans="1:9" s="150" customFormat="1" ht="15" customHeight="1">
      <c r="A4" s="150" t="s">
        <v>466</v>
      </c>
      <c r="B4" s="1107">
        <f>+'Note 1'!B4</f>
        <v>0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>
        <f>'Fiche de renseignement R1'!$J$4</f>
        <v>0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>
        <f>+'Note 1'!B4</f>
        <v>0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1900</v>
      </c>
      <c r="C6" s="868">
        <f>IFERROR(YEAR('Fiche de renseignement R1'!Q20),"Annee N-1")</f>
        <v>2020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0</v>
      </c>
      <c r="D3" s="1311"/>
    </row>
    <row r="4" spans="1:4" s="150" customFormat="1" ht="22.2" customHeight="1">
      <c r="A4" s="854">
        <f>'Fiche de renseignement R1'!$J$4</f>
        <v>0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>
        <f>+'Note 1'!B4</f>
        <v>0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28aad9a-182b-403e-bb7d-b2d1cc410526}">
  <dimension ref="A5"/>
  <sheetViews>
    <sheetView workbookViewId="0" topLeftCell="A1"/>
  </sheetViews>
  <sheetFormatPr defaultRowHeight="12.75"/>
  <sheetData>
    <row r="5" spans="1:1" ht="23.25" customHeight="1">
      <c r="A5" s="1320" t="s">
        <v>1880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38ba952-cca3-4599-a7bd-38638251ab0e}">
  <dimension ref="A5"/>
  <sheetViews>
    <sheetView tabSelected="1" workbookViewId="0" topLeftCell="A1"/>
  </sheetViews>
  <sheetFormatPr defaultRowHeight="12.75"/>
  <sheetData>
    <row r="5" spans="1:1" ht="23.25" customHeight="1">
      <c r="A5" s="1321" t="s">
        <v>1880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