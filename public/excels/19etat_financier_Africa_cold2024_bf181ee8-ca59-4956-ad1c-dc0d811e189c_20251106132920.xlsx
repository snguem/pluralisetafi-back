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<sst xmlns="http://schemas.openxmlformats.org/spreadsheetml/2006/main" count="4701" uniqueCount="1881">
  <si>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</si>
  <si>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</si>
  <si>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</si>
  <si>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</si>
  <si>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</si>
  <si>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</si>
  <si>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</si>
  <si>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</si>
  <si>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</si>
  <si>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</si>
  <si>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</si>
  <si>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</si>
  <si>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</si>
  <si>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</si>
  <si>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</si>
  <si>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</si>
  <si>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</si>
  <si>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</si>
  <si>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</si>
  <si>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</si>
  <si>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</si>
  <si>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</si>
  <si>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</si>
  <si>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</si>
  <si>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</si>
  <si>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</si>
  <si>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</si>
  <si>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</si>
  <si>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</si>
  <si>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</si>
  <si>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</si>
  <si>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</si>
  <si>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</si>
  <si>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</si>
  <si>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</si>
  <si>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</si>
  <si>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</si>
  <si>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</si>
  <si>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</si>
  <si>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</si>
  <si>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</si>
  <si>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</si>
  <si>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</si>
  <si>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</si>
  <si>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</si>
  <si>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</si>
  <si>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</si>
  <si>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</si>
  <si>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</si>
  <si>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</si>
  <si>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</si>
  <si>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</si>
  <si>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</si>
  <si>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</si>
  <si>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</si>
  <si>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</si>
  <si>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</si>
  <si>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</si>
  <si>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</si>
  <si>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</si>
  <si>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</si>
  <si>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</si>
  <si>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</si>
  <si>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</si>
  <si>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</si>
  <si>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</si>
  <si>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</si>
  <si>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</si>
  <si>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</si>
  <si>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</si>
  <si>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</si>
  <si>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</si>
  <si>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</si>
  <si>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</si>
  <si>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</si>
  <si>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</si>
  <si>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</si>
  <si>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</si>
  <si>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</si>
  <si>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</si>
  <si>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</si>
  <si>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</si>
  <si>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</si>
  <si>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</si>
  <si>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</si>
  <si>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</si>
  <si>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</si>
  <si>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</si>
  <si>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</si>
  <si>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</si>
  <si>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</si>
  <si>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</si>
  <si>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</si>
  <si>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</si>
  <si>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</si>
  <si>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</si>
  <si>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</si>
  <si>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</si>
  <si>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</si>
  <si>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</si>
  <si>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</si>
  <si>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</si>
  <si>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</si>
  <si>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</si>
  <si>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</si>
  <si>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</si>
  <si>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</si>
  <si>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</si>
  <si>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</si>
  <si>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</si>
  <si>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</si>
  <si>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</si>
  <si>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</si>
  <si>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</si>
  <si>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</si>
  <si>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</si>
  <si>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</si>
  <si>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</si>
  <si>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</si>
  <si>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</si>
  <si>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</si>
  <si>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</si>
  <si>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</si>
  <si>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</si>
  <si>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</si>
  <si>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</si>
  <si>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</si>
  <si>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</si>
  <si>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</si>
  <si>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</si>
  <si>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</si>
  <si>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</si>
  <si>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</si>
  <si>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</si>
  <si>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</si>
  <si>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</si>
  <si>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</si>
  <si>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</si>
  <si>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</si>
  <si>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</si>
  <si>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</si>
  <si>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</si>
  <si>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</si>
  <si>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</si>
  <si>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</si>
  <si>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</si>
  <si>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</si>
  <si>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</si>
  <si>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</si>
  <si>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</si>
  <si>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</si>
  <si>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</si>
  <si>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</si>
  <si>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</si>
  <si>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</si>
  <si>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</si>
  <si>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</si>
  <si>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</si>
  <si>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</si>
  <si>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</si>
  <si>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</si>
  <si>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</si>
  <si>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</si>
  <si>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</si>
  <si>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</si>
  <si>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</si>
  <si>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</si>
  <si>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</si>
  <si>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</si>
  <si>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</si>
  <si>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</si>
  <si>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</si>
  <si>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</si>
  <si>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</si>
  <si>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</si>
  <si>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</si>
  <si>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</si>
  <si>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</si>
  <si>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</si>
  <si>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</si>
  <si>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</si>
  <si>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</si>
  <si>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</si>
  <si>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</si>
  <si>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</si>
  <si>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</si>
  <si>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</si>
  <si>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</si>
  <si>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</si>
  <si>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</si>
  <si>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</si>
  <si>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</si>
  <si>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</si>
  <si>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</si>
  <si>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</si>
  <si>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</si>
  <si>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</si>
  <si>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</si>
  <si>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</si>
  <si>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</si>
  <si>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</si>
  <si>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</si>
  <si>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</si>
  <si>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</si>
  <si>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</si>
  <si>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</si>
  <si>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</si>
  <si>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</si>
  <si>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</si>
  <si>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</si>
  <si>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</si>
  <si>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</si>
  <si>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</si>
  <si>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</si>
  <si>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</si>
  <si>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</si>
  <si>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</si>
  <si>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</si>
  <si>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</si>
  <si>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</si>
  <si>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</si>
  <si>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</si>
  <si>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</si>
  <si>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</si>
  <si>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</si>
  <si>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</si>
  <si>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</si>
  <si>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</si>
  <si>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</si>
  <si>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</si>
  <si>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</si>
  <si>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</si>
  <si>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</si>
  <si>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</si>
  <si>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</si>
  <si>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</si>
  <si>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</si>
  <si>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</si>
  <si>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</si>
  <si>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</si>
  <si>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</si>
  <si>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</si>
  <si>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</si>
  <si>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</si>
  <si>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</si>
  <si>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</si>
  <si>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</si>
  <si>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</si>
  <si>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</si>
  <si>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</si>
  <si>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</si>
  <si>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</si>
  <si>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</si>
  <si>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</si>
  <si>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</si>
  <si>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</si>
  <si>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</si>
  <si>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</si>
  <si>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</si>
  <si>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</si>
  <si>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</si>
  <si>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</si>
  <si>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</si>
  <si>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</si>
  <si>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</si>
  <si>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</si>
  <si>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</si>
  <si>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</si>
  <si>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</si>
  <si>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</si>
  <si>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</si>
  <si>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</si>
  <si>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</si>
  <si>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</si>
  <si>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</si>
  <si>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</si>
  <si>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</si>
  <si>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</si>
  <si>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</si>
  <si>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</si>
  <si>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</si>
  <si>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</si>
  <si>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</si>
  <si>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</si>
  <si>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</si>
  <si>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</si>
  <si>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</si>
  <si>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</si>
  <si>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</si>
  <si>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</si>
  <si>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</si>
  <si>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</si>
  <si>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</si>
  <si>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</si>
  <si>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</si>
  <si>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</si>
  <si>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</si>
  <si>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</si>
  <si>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</si>
  <si>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</si>
  <si>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</si>
  <si>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</si>
  <si>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</si>
  <si>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</si>
  <si>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</si>
  <si>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</si>
  <si>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</si>
  <si>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</si>
  <si>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</si>
  <si>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</si>
  <si>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</si>
  <si>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</si>
  <si>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</si>
  <si>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</si>
  <si>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</si>
  <si>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</si>
  <si>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</si>
  <si>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</si>
  <si>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</si>
  <si>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</si>
  <si>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</si>
  <si>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</si>
  <si>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</si>
  <si>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</si>
  <si>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</si>
  <si>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</si>
  <si>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</si>
  <si>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</si>
  <si>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</si>
  <si>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</si>
  <si>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</si>
  <si>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</si>
  <si>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</si>
  <si>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</si>
  <si>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</si>
  <si>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</si>
  <si>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</si>
  <si>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</si>
  <si>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</si>
  <si>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</si>
  <si>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</si>
  <si>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</si>
  <si>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</si>
  <si>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</si>
  <si>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</si>
  <si>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</si>
  <si>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</si>
  <si>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</si>
  <si>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</si>
  <si>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</si>
  <si>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</si>
  <si>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</si>
  <si>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</si>
  <si>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</si>
  <si>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</si>
  <si>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</si>
  <si>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</si>
  <si>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</si>
  <si>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</si>
  <si>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</si>
  <si>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</si>
  <si>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</si>
  <si>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</si>
  <si>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</si>
  <si>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</si>
  <si>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</si>
  <si>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</si>
  <si>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</si>
  <si>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</si>
  <si>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</si>
  <si>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</si>
  <si>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</si>
  <si>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</si>
  <si>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</si>
  <si>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</si>
  <si>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</si>
  <si>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</si>
  <si>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</si>
  <si>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</si>
  <si>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</si>
  <si>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</si>
  <si>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</si>
  <si>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</si>
  <si>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</si>
  <si>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</si>
  <si>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</si>
  <si>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</si>
  <si>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</si>
  <si>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</si>
  <si>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</si>
  <si>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</si>
  <si>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</si>
  <si>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</si>
  <si>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</si>
  <si>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</si>
  <si>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</si>
  <si>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</si>
  <si>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</si>
  <si>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</si>
  <si>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</si>
  <si>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</si>
  <si>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</si>
  <si>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</si>
  <si>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</si>
  <si>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</si>
  <si>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</si>
  <si>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</si>
  <si>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</si>
  <si>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</si>
  <si>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</si>
  <si>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</si>
  <si>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</si>
  <si>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</si>
  <si>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</si>
  <si>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</si>
  <si>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</si>
  <si>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</si>
  <si>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</si>
  <si>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</si>
  <si>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</si>
  <si>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</si>
  <si>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</si>
  <si>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</si>
  <si>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</si>
  <si>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</si>
  <si>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</si>
  <si>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</si>
  <si>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</si>
  <si>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</si>
  <si>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</si>
  <si>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</si>
  <si>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</si>
  <si>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</si>
  <si>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</si>
  <si>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</si>
  <si>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</si>
  <si>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</si>
  <si>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</si>
  <si>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</si>
  <si>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</si>
  <si>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</si>
  <si>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</si>
  <si>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</si>
  <si>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</si>
  <si>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</si>
  <si>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</si>
  <si>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</si>
  <si>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</si>
  <si>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</si>
  <si>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</si>
  <si>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</si>
  <si>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</si>
  <si>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</si>
  <si>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</si>
  <si>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</si>
  <si>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</si>
  <si>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</si>
  <si>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</si>
  <si>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</si>
  <si>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</si>
  <si>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</si>
  <si>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</si>
  <si>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</si>
  <si>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</si>
  <si>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</si>
  <si>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</si>
  <si>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</si>
  <si>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</si>
  <si>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</si>
  <si>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</si>
  <si>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</si>
  <si>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</si>
  <si>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</si>
  <si>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</si>
  <si>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</si>
  <si>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</si>
  <si>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</si>
  <si>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</si>
  <si>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</si>
  <si>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</si>
  <si>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</si>
  <si>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</si>
  <si>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</si>
  <si>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</si>
  <si>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</si>
  <si>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</si>
  <si>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</si>
  <si>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</si>
  <si>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</si>
  <si>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</si>
  <si>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</si>
  <si>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</si>
  <si>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</si>
  <si>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</si>
  <si>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</si>
  <si>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</si>
  <si>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</si>
  <si>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</si>
  <si>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</si>
  <si>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</si>
  <si>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</si>
  <si>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</si>
  <si>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</si>
  <si>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</si>
  <si>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</si>
  <si>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</si>
  <si>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</si>
  <si>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</si>
  <si>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</si>
  <si>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</si>
  <si>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</si>
  <si>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</si>
  <si>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</si>
  <si>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</si>
  <si>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</si>
  <si>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</si>
  <si>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</si>
  <si>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</si>
  <si>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</si>
  <si>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</si>
  <si>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</si>
  <si>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</si>
  <si>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</si>
  <si>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</si>
  <si>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</si>
  <si>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</si>
  <si>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</si>
  <si>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</si>
  <si>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</si>
  <si>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</si>
  <si>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</si>
  <si>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</si>
  <si>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</si>
  <si>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</si>
  <si>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</si>
  <si>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</si>
  <si>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</si>
  <si>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</si>
  <si>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</si>
  <si>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</si>
  <si>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</si>
  <si>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</si>
  <si>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</si>
  <si>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</si>
  <si>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</si>
  <si>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</si>
  <si>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</si>
  <si>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</si>
  <si>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</si>
  <si>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</si>
  <si>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</si>
  <si>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</si>
  <si>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</si>
  <si>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</si>
  <si>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</si>
  <si>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</si>
  <si>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</si>
  <si>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</si>
  <si>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</si>
  <si>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</si>
  <si>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</si>
  <si>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</si>
  <si>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</si>
  <si>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</si>
  <si>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</si>
  <si>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</si>
  <si>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</si>
  <si>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</si>
  <si>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</si>
  <si>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</si>
  <si>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</si>
  <si>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</si>
  <si>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</si>
  <si>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</si>
  <si>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</si>
  <si>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</si>
  <si>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</si>
  <si>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</si>
  <si>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</si>
  <si>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</si>
  <si>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</si>
  <si>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</si>
  <si>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</si>
  <si>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</si>
  <si>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</si>
  <si>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</si>
  <si>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</si>
  <si>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</si>
  <si>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</si>
  <si>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</si>
  <si>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</si>
  <si>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</si>
  <si>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</si>
  <si>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</si>
  <si>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</si>
  <si>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</si>
  <si>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</si>
  <si>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</si>
  <si>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</si>
  <si>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</si>
  <si>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</si>
  <si>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</si>
  <si>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</si>
  <si>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</si>
  <si>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</si>
  <si>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</si>
  <si>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</si>
  <si>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</si>
  <si>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</si>
  <si>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</si>
  <si>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</si>
  <si>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</si>
  <si>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</si>
  <si>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</si>
  <si>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</si>
  <si>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</si>
  <si>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</si>
  <si>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</si>
  <si>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</si>
  <si>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</si>
  <si>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</si>
  <si>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</si>
  <si>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</si>
  <si>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</si>
  <si>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</si>
  <si>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</si>
  <si>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</si>
  <si>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</si>
  <si>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</si>
  <si>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</si>
  <si>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</si>
  <si>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</si>
  <si>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</si>
  <si>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</si>
  <si>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</si>
  <si>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</si>
  <si>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</si>
  <si>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</si>
  <si>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</si>
  <si>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</si>
  <si>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</si>
  <si>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</si>
  <si>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</si>
  <si>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</si>
  <si>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</si>
  <si>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</si>
  <si>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</si>
  <si>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</si>
  <si>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</si>
  <si>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</si>
  <si>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</si>
  <si>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</si>
  <si>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</si>
  <si>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</si>
  <si>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</si>
  <si>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</si>
  <si>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</si>
  <si>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</si>
  <si>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</si>
  <si>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</si>
  <si>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</si>
  <si>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</si>
  <si>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</si>
  <si>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</si>
  <si>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</si>
  <si>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</si>
  <si>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</si>
  <si>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</si>
  <si>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</si>
  <si>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</si>
  <si>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</si>
  <si>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</si>
  <si>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</si>
  <si>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</si>
  <si>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</si>
  <si>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</si>
  <si>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</si>
  <si>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</si>
  <si>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</si>
  <si>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</si>
  <si>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</si>
  <si>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</si>
  <si>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</si>
  <si>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</si>
  <si>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</si>
  <si>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</si>
  <si>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</si>
  <si>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</si>
  <si>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</si>
  <si>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</si>
  <si>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</si>
  <si>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</si>
  <si>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</si>
  <si>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</si>
  <si>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</si>
  <si>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</si>
  <si>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</si>
  <si>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</si>
  <si>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</si>
  <si>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</si>
  <si>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</si>
  <si>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</si>
  <si>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</si>
  <si>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</si>
  <si>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</si>
  <si>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</si>
  <si>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</si>
  <si>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</si>
  <si>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</si>
  <si>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</si>
  <si>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</si>
  <si>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</si>
  <si>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</si>
  <si>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</si>
  <si>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</si>
  <si>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</si>
  <si>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</si>
  <si>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</si>
  <si>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</si>
  <si>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</si>
  <si>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</si>
  <si>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</si>
  <si>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</si>
  <si>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</si>
  <si>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</si>
  <si>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</si>
  <si>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</si>
  <si>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</si>
  <si>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</si>
  <si>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</si>
  <si>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</si>
  <si>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</si>
  <si>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</si>
  <si>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</si>
  <si>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</si>
  <si>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</si>
  <si>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</si>
  <si>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</si>
  <si>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</si>
  <si>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</si>
  <si>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</si>
  <si>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</si>
  <si>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</si>
  <si>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</si>
  <si>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</si>
  <si>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</si>
  <si>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</si>
  <si>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</si>
  <si>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</si>
  <si>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</si>
  <si>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</si>
  <si>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</si>
  <si>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</si>
  <si>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</si>
  <si>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</si>
  <si>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</si>
  <si>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</si>
  <si>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</si>
  <si>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</si>
  <si>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</si>
  <si>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</si>
  <si>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</si>
  <si>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</si>
  <si>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</si>
  <si>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</si>
  <si>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</si>
  <si>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</si>
  <si>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</si>
  <si>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</si>
  <si>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</si>
  <si>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</si>
  <si>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</si>
  <si>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</si>
  <si>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</si>
  <si>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</si>
  <si>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</si>
  <si>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</si>
  <si>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</si>
  <si>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</si>
  <si>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</si>
  <si>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</si>
  <si>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</si>
  <si>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</si>
  <si>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</si>
  <si>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</si>
  <si>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</si>
  <si>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</si>
  <si>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</si>
  <si>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</si>
  <si>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</si>
  <si>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</si>
  <si>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</si>
  <si>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</si>
  <si>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</si>
  <si>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</si>
  <si>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</si>
  <si>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</si>
  <si>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</si>
  <si>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</si>
  <si>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</si>
  <si>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</si>
  <si>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</si>
  <si>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</si>
  <si>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</si>
  <si>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</si>
  <si>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</si>
  <si>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</si>
  <si>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</si>
  <si>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</si>
  <si>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</si>
  <si>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</si>
  <si>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</si>
  <si>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</si>
  <si>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</si>
  <si>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</si>
  <si>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</si>
  <si>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</si>
  <si>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</si>
  <si>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</si>
  <si>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</si>
  <si>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</si>
  <si>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</si>
  <si>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</si>
  <si>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</si>
  <si>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</si>
  <si>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</si>
  <si>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</si>
  <si>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</si>
  <si>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</si>
  <si>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</si>
  <si>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</si>
  <si>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</si>
  <si>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</si>
  <si>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</si>
  <si>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</si>
  <si>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</si>
  <si>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</si>
  <si>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</si>
  <si>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</si>
  <si>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</si>
  <si>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</si>
  <si>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</si>
  <si>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</si>
  <si>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</si>
  <si>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</si>
  <si>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</si>
  <si>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</si>
  <si>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</si>
  <si>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</si>
  <si>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</si>
  <si>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</si>
  <si>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</si>
  <si>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</si>
  <si>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</si>
  <si>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</si>
  <si>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</si>
  <si>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</si>
  <si>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</si>
  <si>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</si>
  <si>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</si>
  <si>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</si>
  <si>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</si>
  <si>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</si>
  <si>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</si>
  <si>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</si>
  <si>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</si>
  <si>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</si>
  <si>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</si>
  <si>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</si>
  <si>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</si>
  <si>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</si>
  <si>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</si>
  <si>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</si>
  <si>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</si>
  <si>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</si>
  <si>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</si>
  <si>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</si>
  <si>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</si>
  <si>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</si>
  <si>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</si>
  <si>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</si>
  <si>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</si>
  <si>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</si>
  <si>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</si>
  <si>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</si>
  <si>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</si>
  <si>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</si>
  <si>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</si>
  <si>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</si>
  <si>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</si>
  <si>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</si>
  <si>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</si>
  <si>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</si>
  <si>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</si>
  <si>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</si>
  <si>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</si>
  <si>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</si>
  <si>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</si>
  <si>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</si>
  <si>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</si>
  <si>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</si>
  <si>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</si>
  <si>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</si>
  <si>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</si>
  <si>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</si>
  <si>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</si>
  <si>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</si>
  <si>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</si>
  <si>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</si>
  <si>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</si>
  <si>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</si>
  <si>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</si>
  <si>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</si>
  <si>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</si>
  <si>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</si>
  <si>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</si>
  <si>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</si>
  <si>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</si>
  <si>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</si>
  <si>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</si>
  <si>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</si>
  <si>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</si>
  <si>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</si>
  <si>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</si>
  <si>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</si>
  <si>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</si>
  <si>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</si>
  <si>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</si>
  <si>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</si>
  <si>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</si>
  <si>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</si>
  <si>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</si>
  <si>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</si>
  <si>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</si>
  <si>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</si>
  <si>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</si>
  <si>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</si>
  <si>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</si>
  <si>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</si>
  <si>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</si>
  <si>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</si>
  <si>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</si>
  <si>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</si>
  <si>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</si>
  <si>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</si>
  <si>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</si>
  <si>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</si>
  <si>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</si>
  <si>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</si>
  <si>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</si>
  <si>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</si>
  <si>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</si>
  <si>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</si>
  <si>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</si>
  <si>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</si>
  <si>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</si>
  <si>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</si>
  <si>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</si>
  <si>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</si>
  <si>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</si>
  <si>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</si>
  <si>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</si>
  <si>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</si>
  <si>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</si>
  <si>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</si>
  <si>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</si>
  <si>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</si>
  <si>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</si>
  <si>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</si>
  <si>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</si>
  <si>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</si>
  <si>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</si>
  <si>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</si>
  <si>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</si>
  <si>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</si>
  <si>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</si>
  <si>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</si>
  <si>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</si>
  <si>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</si>
  <si>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</si>
  <si>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</si>
  <si>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</si>
  <si>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</si>
  <si>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</si>
  <si>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</si>
  <si>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</si>
  <si>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</si>
  <si>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</si>
  <si>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</si>
  <si>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</si>
  <si>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</si>
  <si>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</si>
  <si>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</si>
  <si>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</si>
  <si>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</si>
  <si>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</si>
  <si>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</si>
  <si>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</si>
  <si>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</si>
  <si>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</si>
  <si>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</si>
  <si>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</si>
  <si>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</si>
  <si>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</si>
  <si>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</si>
  <si>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</si>
  <si>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</si>
  <si>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</si>
  <si>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</si>
  <si>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</si>
  <si>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</si>
  <si>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</si>
  <si>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</si>
  <si>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</si>
  <si>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</si>
  <si>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</si>
  <si>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</si>
  <si>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</si>
  <si>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</si>
  <si>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</si>
  <si>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</si>
  <si>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</si>
  <si>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</si>
  <si>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</si>
  <si>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</si>
  <si>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</si>
  <si>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</si>
  <si>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</si>
  <si>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</si>
  <si>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</si>
  <si>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</si>
  <si>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</si>
  <si>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</si>
  <si>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</si>
  <si>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</si>
  <si>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</si>
  <si>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</si>
  <si>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</si>
  <si>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</si>
  <si>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</si>
  <si>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</si>
  <si>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</si>
  <si>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</si>
  <si>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</si>
  <si>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</si>
  <si>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</si>
  <si>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</si>
  <si>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</si>
  <si>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</si>
  <si>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</si>
  <si>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</si>
  <si>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</si>
  <si>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</si>
  <si>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</si>
  <si>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</si>
  <si>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</si>
  <si>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</si>
  <si>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</si>
  <si>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</si>
  <si>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</si>
  <si>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</si>
  <si>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</si>
  <si>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</si>
  <si>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</si>
  <si>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</si>
  <si>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</si>
  <si>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</si>
  <si>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</si>
  <si>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</si>
  <si>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</si>
  <si>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</si>
  <si>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</si>
  <si>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</si>
  <si>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</si>
  <si>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</si>
  <si>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</si>
  <si>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</si>
  <si>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</si>
  <si>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</si>
  <si>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</si>
  <si>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</si>
  <si>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</si>
  <si>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</si>
  <si>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</si>
  <si>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</si>
  <si>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</si>
  <si>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</si>
  <si>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</si>
  <si>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</si>
  <si>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</si>
  <si>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</si>
  <si>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</si>
  <si>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</si>
  <si>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</si>
  <si>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</si>
  <si>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</si>
  <si>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</si>
  <si>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</si>
  <si>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</si>
  <si>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</si>
  <si>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</si>
  <si>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</si>
  <si>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</si>
  <si>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</si>
  <si>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</si>
  <si>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</si>
  <si>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</si>
  <si>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</si>
  <si>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</si>
  <si>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</si>
  <si>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</si>
  <si>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</si>
  <si>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</si>
  <si>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</si>
  <si>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</si>
  <si>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</si>
  <si>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</si>
  <si>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</si>
  <si>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</si>
  <si>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</si>
  <si>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</si>
  <si>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</si>
  <si>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</si>
  <si>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</si>
  <si>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</si>
  <si>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</si>
  <si>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</si>
  <si>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</si>
  <si>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</si>
  <si>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</si>
  <si>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</si>
  <si>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</si>
  <si>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</si>
  <si>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</si>
  <si>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</si>
  <si>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</si>
  <si>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</si>
  <si>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</si>
  <si>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</si>
  <si>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</si>
  <si>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</si>
  <si>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</si>
  <si>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</si>
  <si>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</si>
  <si>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</si>
  <si>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</si>
  <si>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</si>
  <si>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</si>
  <si>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</si>
  <si>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</si>
  <si>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</si>
  <si>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</si>
  <si>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</si>
  <si>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</si>
  <si>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</si>
  <si>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</si>
  <si>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</si>
  <si>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</si>
  <si>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</si>
  <si>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</si>
  <si>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</si>
  <si>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</si>
  <si>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</si>
  <si>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</si>
  <si>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</si>
  <si>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</si>
  <si>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</si>
  <si>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</si>
  <si>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</si>
  <si>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</si>
  <si>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</si>
  <si>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</si>
  <si>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</si>
  <si>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</si>
  <si>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</si>
  <si>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</si>
  <si>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</si>
  <si>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</si>
  <si>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</si>
  <si>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</si>
  <si>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</si>
  <si>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</si>
  <si>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</si>
  <si>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</si>
  <si>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</si>
  <si>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</si>
  <si>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</si>
  <si>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</si>
  <si>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</si>
  <si>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</si>
  <si>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</si>
  <si>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</si>
  <si>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</si>
  <si>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</si>
  <si>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</si>
  <si>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</si>
  <si>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</si>
  <si>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</si>
  <si>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</si>
  <si>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</si>
  <si>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</si>
  <si>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</si>
  <si>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</si>
  <si>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</si>
  <si>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</si>
  <si>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</si>
  <si>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</si>
  <si>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</si>
  <si>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</si>
  <si>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</si>
  <si>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</si>
  <si>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</si>
  <si>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</si>
  <si>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</si>
  <si>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</si>
  <si>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</si>
  <si>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</si>
  <si>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</si>
  <si>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</si>
  <si>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</si>
  <si>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</si>
  <si>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</si>
  <si>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</si>
  <si>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</si>
  <si>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</si>
  <si>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</si>
  <si>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</si>
  <si>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</si>
  <si>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</si>
  <si>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</si>
  <si>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</si>
  <si>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</si>
  <si>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</si>
  <si>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</si>
  <si>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</si>
  <si>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</si>
  <si>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</si>
  <si>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</si>
  <si>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</si>
  <si>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</si>
  <si>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</si>
  <si>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</si>
  <si>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</si>
  <si>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</si>
  <si>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</si>
  <si>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</si>
  <si>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</si>
  <si>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</si>
  <si>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</si>
  <si>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</si>
  <si>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</si>
  <si>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</si>
  <si>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</si>
  <si>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</si>
  <si>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</si>
  <si>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</si>
  <si>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</si>
  <si>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</si>
  <si>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</si>
  <si>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</si>
  <si>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</si>
  <si>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</si>
  <si>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</si>
  <si>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</si>
  <si>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</si>
  <si>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</si>
  <si>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</si>
  <si>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</si>
  <si>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</si>
  <si>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</si>
  <si>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</si>
  <si>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</si>
  <si>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</si>
  <si>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</si>
  <si>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</si>
  <si>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</si>
  <si>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</si>
  <si>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</si>
  <si>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</si>
  <si>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</si>
  <si>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</si>
  <si>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</si>
  <si>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</si>
  <si>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</si>
  <si>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</si>
  <si>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</si>
  <si>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</si>
  <si>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</si>
  <si>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</si>
  <si>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</si>
  <si>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</si>
  <si>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</si>
  <si>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</si>
  <si>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</si>
  <si>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</si>
  <si>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</si>
  <si>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</si>
  <si>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</si>
  <si>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</si>
  <si>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</si>
  <si>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</si>
  <si>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</si>
  <si>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</si>
  <si>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</si>
  <si>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</si>
  <si>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</si>
  <si>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</si>
  <si>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</si>
  <si>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</si>
  <si>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</si>
  <si>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</si>
  <si>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</si>
  <si>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</si>
  <si>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</si>
  <si>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</si>
  <si>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</si>
  <si>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</si>
  <si>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</si>
  <si>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</si>
  <si>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</si>
  <si>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</si>
  <si>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</si>
  <si>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</si>
  <si>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</si>
  <si>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</si>
  <si>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</si>
  <si>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</si>
  <si>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</si>
  <si>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</si>
  <si>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</si>
  <si>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</si>
  <si>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</si>
  <si>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</si>
  <si>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</si>
  <si>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</si>
  <si>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</si>
  <si>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</si>
  <si>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</si>
  <si>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</si>
  <si>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</si>
  <si>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</si>
  <si>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</si>
  <si>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</si>
  <si>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</si>
  <si>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</si>
  <si>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</si>
  <si>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</si>
  <si>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</si>
  <si>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</si>
  <si>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</si>
  <si>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</si>
  <si>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</si>
  <si>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</si>
  <si>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</si>
  <si>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</si>
  <si>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</si>
  <si>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</si>
  <si>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</si>
  <si>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</si>
  <si>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</si>
  <si>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</si>
  <si>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</si>
  <si>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</si>
  <si>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</si>
  <si>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</si>
  <si>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</si>
  <si>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</si>
  <si>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</si>
  <si>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</si>
  <si>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</si>
  <si>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</si>
  <si>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</si>
  <si>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</si>
  <si>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</si>
  <si>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</si>
  <si>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</si>
  <si>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</si>
  <si>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</si>
  <si>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</si>
  <si>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</si>
  <si>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</si>
  <si>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</si>
  <si>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</si>
  <si>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</si>
  <si>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</si>
  <si>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</si>
  <si>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</si>
  <si>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</si>
  <si>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</si>
  <si>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</si>
  <si>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</si>
  <si>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</si>
  <si>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</si>
  <si>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</si>
  <si>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</si>
  <si>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</si>
  <si>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</si>
  <si>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</si>
  <si>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</si>
  <si>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</si>
  <si>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</si>
  <si>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</si>
  <si>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</si>
  <si>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</si>
  <si>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</si>
  <si>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</si>
  <si>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</si>
  <si>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</si>
  <si>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</si>
  <si>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</si>
  <si>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</si>
  <si>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</si>
  <si>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</si>
  <si>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</si>
  <si>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</si>
  <si>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</si>
  <si>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</si>
  <si>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</si>
  <si>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</si>
  <si>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</si>
  <si>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</si>
  <si>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</si>
  <si>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</si>
  <si>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</si>
  <si>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</si>
  <si>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</si>
  <si>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</si>
  <si>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</si>
  <si>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</si>
  <si>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</si>
  <si>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</si>
  <si>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</si>
  <si>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</si>
  <si>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</si>
  <si>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</si>
  <si>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</si>
  <si>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</si>
  <si>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</si>
  <si>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</si>
  <si>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</si>
  <si>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</si>
  <si>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</si>
  <si>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</si>
  <si>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</si>
  <si>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</si>
  <si>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</si>
  <si>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</si>
  <si>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</si>
  <si>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</si>
  <si>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</si>
  <si>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</si>
  <si>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</si>
  <si>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</si>
  <si>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</si>
  <si>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</si>
  <si>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</si>
  <si>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</si>
  <si>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</si>
  <si>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</si>
  <si>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</si>
  <si>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</si>
  <si>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</si>
  <si>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</si>
  <si>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</si>
  <si>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</si>
  <si>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</si>
  <si>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</si>
  <si>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</si>
  <si>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</si>
  <si>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</si>
  <si>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</si>
  <si>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</si>
  <si>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</si>
  <si>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</si>
  <si>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</si>
  <si>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</si>
  <si>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</si>
  <si>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</si>
  <si>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</si>
  <si>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</si>
  <si>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</si>
  <si>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</si>
  <si>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</si>
  <si>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</si>
  <si>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</si>
  <si>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</si>
  <si>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</si>
  <si>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</si>
  <si>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</si>
  <si>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</si>
  <si>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</si>
  <si>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</si>
  <si>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</si>
  <si>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</si>
  <si>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</si>
  <si>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</si>
  <si>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</si>
  <si>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</si>
  <si>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</si>
  <si>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</si>
  <si>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</si>
  <si>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</si>
  <si>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</si>
  <si>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</si>
  <si>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</si>
  <si>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</si>
  <si>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</si>
  <si>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</si>
  <si>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</si>
  <si>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</si>
  <si>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</si>
  <si>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</si>
  <si>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</si>
  <si>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</si>
  <si>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</si>
  <si>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</si>
  <si>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</si>
  <si>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</si>
  <si>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</si>
  <si>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</si>
  <si>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</si>
  <si>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</si>
  <si>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</si>
  <si>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</si>
  <si>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</si>
  <si>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</si>
  <si>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</si>
  <si>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</si>
  <si>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</si>
  <si>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</si>
  <si>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</si>
  <si>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</si>
  <si>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</si>
  <si>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</si>
  <si>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</si>
  <si>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</si>
  <si>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</si>
  <si>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</si>
  <si>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</si>
  <si>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</si>
  <si>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RESERVES LEGALES</t>
  </si>
  <si>
    <t>RESERVE LEGALE</t>
  </si>
  <si>
    <t>118800</t>
  </si>
  <si>
    <t>RESERVES LIBRES</t>
  </si>
  <si>
    <t>130100</t>
  </si>
  <si>
    <t>RESULTAT EN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</si>
  <si>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</si>
  <si>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</si>
  <si>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</si>
  <si>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</si>
  <si>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</si>
  <si>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</si>
  <si>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</si>
  <si>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222000</t>
  </si>
  <si>
    <t>131000</t>
  </si>
  <si>
    <t>TERRAINS</t>
  </si>
  <si>
    <t>RESULTAT NET : BENEFICE</t>
  </si>
  <si>
    <t>229800</t>
  </si>
  <si>
    <t>ETUDE TUBO GRAPHIQUE</t>
  </si>
  <si>
    <t>231100</t>
  </si>
  <si>
    <t>BATIMENTS INDUSTRIELS</t>
  </si>
  <si>
    <t>ETUDE TUBO GRAFIQUE</t>
  </si>
  <si>
    <t>231110</t>
  </si>
  <si>
    <t>BATIMENT 2017</t>
  </si>
  <si>
    <t>231120</t>
  </si>
  <si>
    <t>BATIMENTS 2022</t>
  </si>
  <si>
    <t>BATIMENTS AUTRES</t>
  </si>
  <si>
    <t>234100</t>
  </si>
  <si>
    <t>INSTALLATION COMPLEXE SPEC SUR</t>
  </si>
  <si>
    <t>AUTRES BATIMENTS</t>
  </si>
  <si>
    <t>235000</t>
  </si>
  <si>
    <t>AMENAGEMENT DE BUREAUX</t>
  </si>
  <si>
    <t>INSTALLATION COMPLEXE SPEC</t>
  </si>
  <si>
    <t>238000</t>
  </si>
  <si>
    <t>235100</t>
  </si>
  <si>
    <t>AUTRES INTALATION ET AGENCE</t>
  </si>
  <si>
    <t>AMENAG BUREAU ET INSTALLATION</t>
  </si>
  <si>
    <t>239000</t>
  </si>
  <si>
    <t>BATIMENT ET INSTALLATION EN COURS</t>
  </si>
  <si>
    <t>AUTRES  INTALLA  ET AGENCEM</t>
  </si>
  <si>
    <t>241100</t>
  </si>
  <si>
    <t>MATERIEL INDUSTRIEL</t>
  </si>
  <si>
    <t>BATIMENT ET INSTAL EN COURS</t>
  </si>
  <si>
    <t>241500</t>
  </si>
  <si>
    <t>MATERIEL DE COMMUNICATION</t>
  </si>
  <si>
    <t>244200</t>
  </si>
  <si>
    <t>MATERIEL INFORMATIQUE</t>
  </si>
  <si>
    <t>244400</t>
  </si>
  <si>
    <t>244100</t>
  </si>
  <si>
    <t>MOBILIER DE BUREAU</t>
  </si>
  <si>
    <t>MATERIEL DE BUREAU</t>
  </si>
  <si>
    <t>245100</t>
  </si>
  <si>
    <t>MATERIEL DE TRANSPORT</t>
  </si>
  <si>
    <t>Matériel et mobilier informatique</t>
  </si>
  <si>
    <t>275100</t>
  </si>
  <si>
    <t>DEPOT LOYER D'AVANCE</t>
  </si>
  <si>
    <t>275200</t>
  </si>
  <si>
    <t>DEPOT POUR ELECTRICITE</t>
  </si>
  <si>
    <t>Matériel automobile</t>
  </si>
  <si>
    <t>282980</t>
  </si>
  <si>
    <t>272000</t>
  </si>
  <si>
    <t>AMORTS ETUDES TOPOGRAPHIQUE</t>
  </si>
  <si>
    <t>PRET AU PERSONNEL</t>
  </si>
  <si>
    <t>283110</t>
  </si>
  <si>
    <t>272100</t>
  </si>
  <si>
    <t>AMORTS BATIMENT INDUSTRIELS</t>
  </si>
  <si>
    <t>PRET AUX MAREYEUR</t>
  </si>
  <si>
    <t>283410</t>
  </si>
  <si>
    <t>AMOTS INST COMPL SPEC SUR SOL</t>
  </si>
  <si>
    <t>DEPOTS ET CAUT POUR LOYERS D'AVANCE</t>
  </si>
  <si>
    <t>283500</t>
  </si>
  <si>
    <t>AMORT AMGMT DE BUREAUX</t>
  </si>
  <si>
    <t>283800</t>
  </si>
  <si>
    <t>AMORTS AUTRE SINSTAL &amp;AGENCMT</t>
  </si>
  <si>
    <t>AMORTS  ETUDES TOPOGRAPHIQUE</t>
  </si>
  <si>
    <t>284110</t>
  </si>
  <si>
    <t>AMORTS MAT &amp;OUTIL IND</t>
  </si>
  <si>
    <t>284150</t>
  </si>
  <si>
    <t>AMORTS MAT DE COMMUNICATION</t>
  </si>
  <si>
    <t>AMORT AMENAG &amp; INST TECH SOL PROPRE</t>
  </si>
  <si>
    <t>284420</t>
  </si>
  <si>
    <t>283510</t>
  </si>
  <si>
    <t>AMOTS MAT INFORMATIQUE</t>
  </si>
  <si>
    <t>AMORT DES AMENAG DE BUREAUX</t>
  </si>
  <si>
    <t>284440</t>
  </si>
  <si>
    <t>AMORTS MOBILIER DE BUREAU</t>
  </si>
  <si>
    <t>AMORTS AUTRES INSTAL &amp; AGENCMENT</t>
  </si>
  <si>
    <t>284500</t>
  </si>
  <si>
    <t>AMORTS MAT DE TRANSPORT</t>
  </si>
  <si>
    <t>AMORTS MAT ET OUTILS IND</t>
  </si>
  <si>
    <t>321000</t>
  </si>
  <si>
    <t>STOCK POISSONS</t>
  </si>
  <si>
    <t>AMORT MAT DE COMMUNICATION</t>
  </si>
  <si>
    <t>401100</t>
  </si>
  <si>
    <t>FOURNISSEURS</t>
  </si>
  <si>
    <t>AMORT MATERIEL INFORMAIQUE</t>
  </si>
  <si>
    <t>408100</t>
  </si>
  <si>
    <t>CAP</t>
  </si>
  <si>
    <t>AMORT MOBILIER DE BUREAU</t>
  </si>
  <si>
    <t>409100</t>
  </si>
  <si>
    <t>FACTURES PAYER D'AVANCE</t>
  </si>
  <si>
    <t>AMORTS MATERIEL TRANSP</t>
  </si>
  <si>
    <t>409200</t>
  </si>
  <si>
    <t>FOURNIISSEURS D'INV.PAYES A L'AVANC</t>
  </si>
  <si>
    <t>411000</t>
  </si>
  <si>
    <t>401000</t>
  </si>
  <si>
    <t>Fr. FOURNISSEUR : MAREYEUR</t>
  </si>
  <si>
    <t>411100</t>
  </si>
  <si>
    <t>AUTRES CLIENTS</t>
  </si>
  <si>
    <t xml:space="preserve"> Fournisseurs</t>
  </si>
  <si>
    <t>419100</t>
  </si>
  <si>
    <t>Clients - avances et acomptes</t>
  </si>
  <si>
    <t>FNRS FACT NON PARVENUES</t>
  </si>
  <si>
    <t>421000</t>
  </si>
  <si>
    <t>Personnel AVCES ET ACOMPTE</t>
  </si>
  <si>
    <t>Fournisseurs avances et acomptes ve</t>
  </si>
  <si>
    <t>422000</t>
  </si>
  <si>
    <t>PERSONNEL REMUNERATION DUE</t>
  </si>
  <si>
    <t>CLIENTS</t>
  </si>
  <si>
    <t>431000</t>
  </si>
  <si>
    <t>419000</t>
  </si>
  <si>
    <t>Sécurité sociale</t>
  </si>
  <si>
    <t>CLIENTS CREDITEUR</t>
  </si>
  <si>
    <t>431300</t>
  </si>
  <si>
    <t>IPRES</t>
  </si>
  <si>
    <t>CLIENTS AVANCE ET ACOMPTE</t>
  </si>
  <si>
    <t>441000</t>
  </si>
  <si>
    <t>ETAT IMPOTS SUR LES BENEFICES</t>
  </si>
  <si>
    <t>PERSONNEL AVCES ET ACOMPTE</t>
  </si>
  <si>
    <t>442200</t>
  </si>
  <si>
    <t>IMPOT SUR TAXES COLLECTIVES</t>
  </si>
  <si>
    <t>PERSONNEL REMUNERATIONS DUE</t>
  </si>
  <si>
    <t>445200</t>
  </si>
  <si>
    <t>TVA/ACHATS</t>
  </si>
  <si>
    <t>SECURITE SOCIALE</t>
  </si>
  <si>
    <t>447200</t>
  </si>
  <si>
    <t>431200</t>
  </si>
  <si>
    <t>VRS</t>
  </si>
  <si>
    <t>ACCIDENTS DE TRAVAIL</t>
  </si>
  <si>
    <t>447210</t>
  </si>
  <si>
    <t>BRS</t>
  </si>
  <si>
    <t>CAISSE RETRAITE OBLIGATOIRE IPRES</t>
  </si>
  <si>
    <t>448600</t>
  </si>
  <si>
    <t>Etat - Autres charges à payer</t>
  </si>
  <si>
    <t>ETAT IMPOT SUR LES BENEFICES</t>
  </si>
  <si>
    <t>449010</t>
  </si>
  <si>
    <t>VRS DE TROP</t>
  </si>
  <si>
    <t>IMPOTS ET TAXES SUR LES COLLECT PUB</t>
  </si>
  <si>
    <t>449020</t>
  </si>
  <si>
    <t>445000</t>
  </si>
  <si>
    <t>BRS DE TROP</t>
  </si>
  <si>
    <t>ETAT, TVA RECUPERABLE</t>
  </si>
  <si>
    <t>449030</t>
  </si>
  <si>
    <t>IS DE TROP</t>
  </si>
  <si>
    <t xml:space="preserve"> T.V.A. récupérable sur achats</t>
  </si>
  <si>
    <t>462000</t>
  </si>
  <si>
    <t>COMPTES COURANT</t>
  </si>
  <si>
    <t>IMPOT SUR SALAIRES : VRS</t>
  </si>
  <si>
    <t>462010</t>
  </si>
  <si>
    <t>DIVIDENTES A PAYER</t>
  </si>
  <si>
    <t>521501</t>
  </si>
  <si>
    <t>BANK OF AFRICA</t>
  </si>
  <si>
    <t>ETAT,CHARGES A PAYER</t>
  </si>
  <si>
    <t>521505</t>
  </si>
  <si>
    <t>449000</t>
  </si>
  <si>
    <t>FBNBANK</t>
  </si>
  <si>
    <t>IS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</si>
  <si>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</si>
  <si>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</si>
  <si>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</si>
  <si>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</si>
  <si>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</si>
  <si>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</si>
  <si>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</si>
  <si>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FRET</t>
  </si>
  <si>
    <t>ASSOCIES, COMPTES COURANTS</t>
  </si>
  <si>
    <t>603200</t>
  </si>
  <si>
    <t>465000</t>
  </si>
  <si>
    <t>Variation stocks autres approv.</t>
  </si>
  <si>
    <t>ASSOCIES DIVIDENDES A PAYER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</si>
  <si>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</si>
  <si>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</si>
  <si>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</si>
  <si>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</si>
  <si>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</si>
  <si>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</si>
  <si>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</si>
  <si>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ELECTRICITE</t>
  </si>
  <si>
    <t>VIREMENTS DE FONDS</t>
  </si>
  <si>
    <t>605300</t>
  </si>
  <si>
    <t>ESSENCE</t>
  </si>
  <si>
    <t>ACHAT LOCAUX DE MATIERES 1ER</t>
  </si>
  <si>
    <t>605310</t>
  </si>
  <si>
    <t>CARBURANT</t>
  </si>
  <si>
    <t>VARIATION STOCK MAT 1ER  AU APPROV</t>
  </si>
  <si>
    <t>605500</t>
  </si>
  <si>
    <t>604000</t>
  </si>
  <si>
    <t>FOURNITURE DE BUREAU NON STOCKAB</t>
  </si>
  <si>
    <t>ACHAT STOCKE MATIER ET FOURNI CONSO</t>
  </si>
  <si>
    <t>605600</t>
  </si>
  <si>
    <t>ACH DE PETIT MAT OUTILLAGE</t>
  </si>
  <si>
    <t>605700</t>
  </si>
  <si>
    <t>ACHA DETUDE DE PRESTATION DE SERV</t>
  </si>
  <si>
    <t>605810</t>
  </si>
  <si>
    <t>TENUES DE TRAVAIL</t>
  </si>
  <si>
    <t>AUTRES ACHATS</t>
  </si>
  <si>
    <t>606120</t>
  </si>
  <si>
    <t>605100</t>
  </si>
  <si>
    <t>Gaz</t>
  </si>
  <si>
    <t>FOURNITURE NON STOKABLE EAU</t>
  </si>
  <si>
    <t>608100</t>
  </si>
  <si>
    <t>EMBALLAGES PERDUS</t>
  </si>
  <si>
    <t>Fournitures non stockab - Electrici</t>
  </si>
  <si>
    <t>612100</t>
  </si>
  <si>
    <t>FRET/EXPORT</t>
  </si>
  <si>
    <t>Fourn non soctk. ESSENCE</t>
  </si>
  <si>
    <t>612110</t>
  </si>
  <si>
    <t>TRANSPORT SUR VENTE EXPORTATION</t>
  </si>
  <si>
    <t>616000</t>
  </si>
  <si>
    <t>605400</t>
  </si>
  <si>
    <t>POSTE</t>
  </si>
  <si>
    <t>Fournitures d'entretien non stockab</t>
  </si>
  <si>
    <t>618000</t>
  </si>
  <si>
    <t>AUTRES FRAIS DE TRANSPORT</t>
  </si>
  <si>
    <t>Fournitures de bureau non stockable</t>
  </si>
  <si>
    <t>618100</t>
  </si>
  <si>
    <t>VOYAGE ET DEPLACEMENTS</t>
  </si>
  <si>
    <t>Achats de petit matériel et outilla</t>
  </si>
  <si>
    <t>624000</t>
  </si>
  <si>
    <t>Transports biens et personnel</t>
  </si>
  <si>
    <t>Achats d'études et presta de servic</t>
  </si>
  <si>
    <t>624100</t>
  </si>
  <si>
    <t>605800</t>
  </si>
  <si>
    <t>ENTRETIENT ET REPARATION DES BIEN</t>
  </si>
  <si>
    <t>Achats de travaux, matériels et équ</t>
  </si>
  <si>
    <t>624200</t>
  </si>
  <si>
    <t>ENTRETIENS ET REPARATION</t>
  </si>
  <si>
    <t>625200</t>
  </si>
  <si>
    <t>ASSURANCE MAT DE TRANSPORT</t>
  </si>
  <si>
    <t>GAZ</t>
  </si>
  <si>
    <t>627600</t>
  </si>
  <si>
    <t>CADEAUX A LA CLIENTELE</t>
  </si>
  <si>
    <t>628000</t>
  </si>
  <si>
    <t>611000</t>
  </si>
  <si>
    <t>TRANSPORT SUR ACHAT</t>
  </si>
  <si>
    <t>628100</t>
  </si>
  <si>
    <t>FRAIS DE TELEPHONE</t>
  </si>
  <si>
    <t>631000</t>
  </si>
  <si>
    <t>FRAIS BANCAIRE</t>
  </si>
  <si>
    <t>632400</t>
  </si>
  <si>
    <t>HONORAIRE</t>
  </si>
  <si>
    <t>TRANSPORT DE PLIS : POSTE</t>
  </si>
  <si>
    <t>632410</t>
  </si>
  <si>
    <t>HONORAIRES</t>
  </si>
  <si>
    <t>632700</t>
  </si>
  <si>
    <t>CMACGM/EXPORT</t>
  </si>
  <si>
    <t>Voyages et déplacements</t>
  </si>
  <si>
    <t>632710</t>
  </si>
  <si>
    <t>622200</t>
  </si>
  <si>
    <t>BIRA TRANSIT/EXPORT</t>
  </si>
  <si>
    <t>Location de bâtiments</t>
  </si>
  <si>
    <t>632720</t>
  </si>
  <si>
    <t>DP WORLD</t>
  </si>
  <si>
    <t>ENTRETIEN REPARATION BIEN IMMOBILIE</t>
  </si>
  <si>
    <t>632730</t>
  </si>
  <si>
    <t>WEST AFRICA LOGISTICS LTD</t>
  </si>
  <si>
    <t>Entretien et réparat biens mobilier</t>
  </si>
  <si>
    <t>632740</t>
  </si>
  <si>
    <t>624300</t>
  </si>
  <si>
    <t>DIAMOND SHIPPING</t>
  </si>
  <si>
    <t>Maintenance</t>
  </si>
  <si>
    <t>632750</t>
  </si>
  <si>
    <t>S.I.W.A</t>
  </si>
  <si>
    <t>Assurances matériel de transport</t>
  </si>
  <si>
    <t>637000</t>
  </si>
  <si>
    <t>REMUNERATION DU PERSONNEL EX</t>
  </si>
  <si>
    <t>Frais de téléphone</t>
  </si>
  <si>
    <t>637010</t>
  </si>
  <si>
    <t>PRESTATION</t>
  </si>
  <si>
    <t>641800</t>
  </si>
  <si>
    <t>631800</t>
  </si>
  <si>
    <t>AUTRES IMPOTS ET TAXES DIRECTES</t>
  </si>
  <si>
    <t>Autres frais bancaires</t>
  </si>
  <si>
    <t>658200</t>
  </si>
  <si>
    <t>DONS</t>
  </si>
  <si>
    <t>HONORAIRES DES PROFESSIONS REGLEMEN</t>
  </si>
  <si>
    <t>661100</t>
  </si>
  <si>
    <t>SALAIRE VERSE AU PERSONNEL</t>
  </si>
  <si>
    <t>661120</t>
  </si>
  <si>
    <t>632500</t>
  </si>
  <si>
    <t>PRIME DE TRANSPORT</t>
  </si>
  <si>
    <t>FRAIS D ACTES ET DE CONTENTIEUX</t>
  </si>
  <si>
    <t>661130</t>
  </si>
  <si>
    <t>SALAIRE JOURNALIERS</t>
  </si>
  <si>
    <t>Rémunération des autres prestataire</t>
  </si>
  <si>
    <t>661140</t>
  </si>
  <si>
    <t>632701</t>
  </si>
  <si>
    <t>PRIME DE PANIERS</t>
  </si>
  <si>
    <t>661150</t>
  </si>
  <si>
    <t>INDEMNITES DE STAGE</t>
  </si>
  <si>
    <t>661400</t>
  </si>
  <si>
    <t>LICENCIEMENT</t>
  </si>
  <si>
    <t>664000</t>
  </si>
  <si>
    <t>632760</t>
  </si>
  <si>
    <t>CHAREGES SOCIALES</t>
  </si>
  <si>
    <t>MSC MEDITERRANEAN SHIPPING COMPANY</t>
  </si>
  <si>
    <t>668400</t>
  </si>
  <si>
    <t>632770</t>
  </si>
  <si>
    <t>medecine du travail et pharmacie</t>
  </si>
  <si>
    <t>WELCOME ITALIE B FALL</t>
  </si>
  <si>
    <t>681300</t>
  </si>
  <si>
    <t>633000</t>
  </si>
  <si>
    <t>DOTATIONS AUX AMORT.CORPORELS</t>
  </si>
  <si>
    <t>FRAIS DE FORMATION DU PERSONNEL</t>
  </si>
  <si>
    <t>702200</t>
  </si>
  <si>
    <t>VENTE DE PRODUIT FINIS HORS UEM</t>
  </si>
  <si>
    <t>RENUMERATION DU PERSONNEL EXTERIEUR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</si>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</sst>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1538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/>
      <c r="G3" s="784"/>
      <c r="H3" s="785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/>
      <c r="G4" s="784"/>
      <c r="H4" s="785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/>
      <c r="F5" s="784"/>
      <c r="G5" s="784"/>
      <c r="H5" s="784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/>
      <c r="F6" s="784"/>
      <c r="G6" s="784"/>
      <c r="H6" s="784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/>
      <c r="F7" s="784"/>
      <c r="G7" s="784"/>
      <c r="H7" s="784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/>
      <c r="F8" s="784"/>
      <c r="G8" s="784"/>
      <c r="H8" s="784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>
        <v>55070000</v>
      </c>
      <c r="D9" s="785"/>
      <c r="E9" s="785">
        <v>91000000</v>
      </c>
      <c r="F9" s="784"/>
      <c r="G9" s="784">
        <v>146070000</v>
      </c>
      <c r="H9" s="784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26.4" customHeight="1">
      <c r="A10" s="783" t="s">
        <v>1557</v>
      </c>
      <c r="B10" s="783" t="s">
        <v>1558</v>
      </c>
      <c r="C10" s="785">
        <v>1599000</v>
      </c>
      <c r="D10" s="784"/>
      <c r="E10" s="785"/>
      <c r="F10" s="784"/>
      <c r="G10" s="785">
        <v>1599000</v>
      </c>
      <c r="H10" s="784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26.4" customHeight="1">
      <c r="A11" s="783" t="s">
        <v>1559</v>
      </c>
      <c r="B11" s="783" t="s">
        <v>1560</v>
      </c>
      <c r="C11" s="785">
        <v>474597458</v>
      </c>
      <c r="D11" s="784"/>
      <c r="E11" s="785"/>
      <c r="F11" s="784"/>
      <c r="G11" s="785">
        <v>474597458</v>
      </c>
      <c r="H11" s="784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26.4" customHeight="1">
      <c r="A12" s="783" t="s">
        <v>1562</v>
      </c>
      <c r="B12" s="783" t="s">
        <v>1563</v>
      </c>
      <c r="C12" s="785">
        <v>108355497</v>
      </c>
      <c r="D12" s="784"/>
      <c r="E12" s="784"/>
      <c r="F12" s="784"/>
      <c r="G12" s="785">
        <v>108355497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26.4" customHeight="1">
      <c r="A13" s="783" t="s">
        <v>1564</v>
      </c>
      <c r="B13" s="783" t="s">
        <v>1565</v>
      </c>
      <c r="C13" s="785"/>
      <c r="D13" s="784"/>
      <c r="E13" s="784">
        <v>518717871</v>
      </c>
      <c r="F13" s="784"/>
      <c r="G13" s="785">
        <v>518717871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26.4" customHeight="1">
      <c r="A14" s="783" t="s">
        <v>1567</v>
      </c>
      <c r="B14" s="783" t="s">
        <v>1568</v>
      </c>
      <c r="C14" s="785">
        <v>268942370</v>
      </c>
      <c r="D14" s="784"/>
      <c r="E14" s="784"/>
      <c r="F14" s="784"/>
      <c r="G14" s="785">
        <v>268942370</v>
      </c>
      <c r="H14" s="784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26.4" customHeight="1">
      <c r="A15" s="783" t="s">
        <v>1570</v>
      </c>
      <c r="B15" s="783" t="s">
        <v>1571</v>
      </c>
      <c r="C15" s="785">
        <v>152970201</v>
      </c>
      <c r="D15" s="784"/>
      <c r="E15" s="784">
        <v>8270033</v>
      </c>
      <c r="F15" s="784"/>
      <c r="G15" s="785">
        <v>161240234</v>
      </c>
      <c r="H15" s="784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16992250</v>
      </c>
      <c r="D16" s="784"/>
      <c r="E16" s="784"/>
      <c r="F16" s="784"/>
      <c r="G16" s="785">
        <v>16992250</v>
      </c>
      <c r="H16" s="784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26.4" customHeight="1">
      <c r="A17" s="783" t="s">
        <v>1577</v>
      </c>
      <c r="B17" s="783" t="s">
        <v>1578</v>
      </c>
      <c r="C17" s="785">
        <v>518717871</v>
      </c>
      <c r="D17" s="784"/>
      <c r="E17" s="785">
        <v>53596539</v>
      </c>
      <c r="F17" s="784">
        <v>518717871</v>
      </c>
      <c r="G17" s="785">
        <v>53596539</v>
      </c>
      <c r="H17" s="784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26.4" customHeight="1">
      <c r="A18" s="783" t="s">
        <v>1580</v>
      </c>
      <c r="B18" s="783" t="s">
        <v>1581</v>
      </c>
      <c r="C18" s="785">
        <v>393621547</v>
      </c>
      <c r="D18" s="784"/>
      <c r="E18" s="785">
        <v>33956828</v>
      </c>
      <c r="F18" s="784"/>
      <c r="G18" s="785">
        <v>427578375</v>
      </c>
      <c r="H18" s="784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26.4" customHeight="1">
      <c r="A19" s="783" t="s">
        <v>1583</v>
      </c>
      <c r="B19" s="783" t="s">
        <v>1584</v>
      </c>
      <c r="C19" s="785">
        <v>496000</v>
      </c>
      <c r="D19" s="784"/>
      <c r="E19" s="785"/>
      <c r="F19" s="784"/>
      <c r="G19" s="785">
        <v>496000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26.4" customHeight="1">
      <c r="A20" s="783" t="s">
        <v>1585</v>
      </c>
      <c r="B20" s="783" t="s">
        <v>1586</v>
      </c>
      <c r="C20" s="785">
        <v>20964652</v>
      </c>
      <c r="D20" s="784"/>
      <c r="E20" s="784">
        <v>320000</v>
      </c>
      <c r="F20" s="784"/>
      <c r="G20" s="785">
        <v>21284652</v>
      </c>
      <c r="H20" s="784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>
        <v>4462000</v>
      </c>
      <c r="D21" s="784"/>
      <c r="E21" s="785"/>
      <c r="F21" s="784"/>
      <c r="G21" s="785">
        <v>4462000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26.4" customHeight="1">
      <c r="A22" s="783" t="s">
        <v>1591</v>
      </c>
      <c r="B22" s="783" t="s">
        <v>1592</v>
      </c>
      <c r="C22" s="785">
        <v>65268881</v>
      </c>
      <c r="D22" s="784"/>
      <c r="E22" s="785"/>
      <c r="F22" s="784"/>
      <c r="G22" s="785">
        <v>65268881</v>
      </c>
      <c r="H22" s="784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26.4" customHeight="1">
      <c r="A23" s="783" t="s">
        <v>1594</v>
      </c>
      <c r="B23" s="783" t="s">
        <v>1595</v>
      </c>
      <c r="C23" s="785">
        <v>5463000</v>
      </c>
      <c r="D23" s="784"/>
      <c r="E23" s="784"/>
      <c r="F23" s="784"/>
      <c r="G23" s="785">
        <v>5463000</v>
      </c>
      <c r="H23" s="784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26.4" customHeight="1">
      <c r="A24" s="783" t="s">
        <v>1596</v>
      </c>
      <c r="B24" s="783" t="s">
        <v>1597</v>
      </c>
      <c r="C24" s="785">
        <v>6717480</v>
      </c>
      <c r="D24" s="784"/>
      <c r="E24" s="785"/>
      <c r="F24" s="784"/>
      <c r="G24" s="785">
        <v>6717480</v>
      </c>
      <c r="H24" s="784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/>
      <c r="F25" s="785">
        <v>79950</v>
      </c>
      <c r="G25" s="785"/>
      <c r="H25" s="784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>
        <v>207100843</v>
      </c>
      <c r="E26" s="785"/>
      <c r="F26" s="784">
        <v>55083541</v>
      </c>
      <c r="G26" s="785"/>
      <c r="H26" s="784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26.4" customHeight="1">
      <c r="A27" s="783" t="s">
        <v>1607</v>
      </c>
      <c r="B27" s="783" t="s">
        <v>1608</v>
      </c>
      <c r="C27" s="785"/>
      <c r="D27" s="784">
        <v>102013896</v>
      </c>
      <c r="E27" s="784"/>
      <c r="F27" s="784">
        <v>13447119</v>
      </c>
      <c r="G27" s="785"/>
      <c r="H27" s="784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26.4" customHeight="1">
      <c r="A28" s="783" t="s">
        <v>1610</v>
      </c>
      <c r="B28" s="783" t="s">
        <v>1611</v>
      </c>
      <c r="C28" s="785"/>
      <c r="D28" s="784">
        <v>49911215</v>
      </c>
      <c r="E28" s="784"/>
      <c r="F28" s="784">
        <v>15882284</v>
      </c>
      <c r="G28" s="785"/>
      <c r="H28" s="784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26.4" customHeight="1">
      <c r="A29" s="783" t="s">
        <v>1612</v>
      </c>
      <c r="B29" s="783" t="s">
        <v>1613</v>
      </c>
      <c r="C29" s="784"/>
      <c r="D29" s="785">
        <v>11162168</v>
      </c>
      <c r="E29" s="784"/>
      <c r="F29" s="785">
        <v>1699225</v>
      </c>
      <c r="G29" s="784"/>
      <c r="H29" s="785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26.4" customHeight="1">
      <c r="A30" s="783" t="s">
        <v>1615</v>
      </c>
      <c r="B30" s="783" t="s">
        <v>1616</v>
      </c>
      <c r="C30" s="784"/>
      <c r="D30" s="785">
        <v>231215269</v>
      </c>
      <c r="E30" s="784"/>
      <c r="F30" s="785">
        <v>66298765</v>
      </c>
      <c r="G30" s="784"/>
      <c r="H30" s="785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26.4" customHeight="1">
      <c r="A31" s="783" t="s">
        <v>1617</v>
      </c>
      <c r="B31" s="783" t="s">
        <v>1618</v>
      </c>
      <c r="C31" s="784"/>
      <c r="D31" s="784">
        <v>360513</v>
      </c>
      <c r="E31" s="784"/>
      <c r="F31" s="785">
        <v>99200</v>
      </c>
      <c r="G31" s="784"/>
      <c r="H31" s="785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13353898</v>
      </c>
      <c r="E32" s="784"/>
      <c r="F32" s="785">
        <v>2644115</v>
      </c>
      <c r="G32" s="784"/>
      <c r="H32" s="785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26.4" customHeight="1">
      <c r="A33" s="783" t="s">
        <v>1624</v>
      </c>
      <c r="B33" s="783" t="s">
        <v>1625</v>
      </c>
      <c r="C33" s="784"/>
      <c r="D33" s="785">
        <v>4462000</v>
      </c>
      <c r="E33" s="784"/>
      <c r="F33" s="785"/>
      <c r="G33" s="784"/>
      <c r="H33" s="785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26.4" customHeight="1">
      <c r="A34" s="783" t="s">
        <v>1627</v>
      </c>
      <c r="B34" s="783" t="s">
        <v>1628</v>
      </c>
      <c r="C34" s="784"/>
      <c r="D34" s="785">
        <v>46129364</v>
      </c>
      <c r="E34" s="784"/>
      <c r="F34" s="785">
        <v>12293776</v>
      </c>
      <c r="G34" s="784"/>
      <c r="H34" s="785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26.4" customHeight="1">
      <c r="A35" s="783" t="s">
        <v>1630</v>
      </c>
      <c r="B35" s="783" t="s">
        <v>1631</v>
      </c>
      <c r="C35" s="784">
        <v>433749204</v>
      </c>
      <c r="D35" s="785"/>
      <c r="E35" s="784">
        <v>365270359</v>
      </c>
      <c r="F35" s="785">
        <v>433749204</v>
      </c>
      <c r="G35" s="784">
        <v>365270359</v>
      </c>
      <c r="H35" s="785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26.4" customHeight="1">
      <c r="A36" s="783" t="s">
        <v>1633</v>
      </c>
      <c r="B36" s="783" t="s">
        <v>1634</v>
      </c>
      <c r="C36" s="784">
        <v>6.915443168E9</v>
      </c>
      <c r="D36" s="785">
        <v>6.915443168E9</v>
      </c>
      <c r="E36" s="784">
        <v>5.142562463E9</v>
      </c>
      <c r="F36" s="785">
        <v>5.142562463E9</v>
      </c>
      <c r="G36" s="784"/>
      <c r="H36" s="785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26.4" customHeight="1">
      <c r="A37" s="783" t="s">
        <v>1636</v>
      </c>
      <c r="B37" s="783" t="s">
        <v>1637</v>
      </c>
      <c r="C37" s="784"/>
      <c r="D37" s="785">
        <v>12004500</v>
      </c>
      <c r="E37" s="784">
        <v>12004500</v>
      </c>
      <c r="F37" s="785">
        <v>3938800</v>
      </c>
      <c r="G37" s="784"/>
      <c r="H37" s="785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26.4" customHeight="1">
      <c r="A38" s="783" t="s">
        <v>1639</v>
      </c>
      <c r="B38" s="783" t="s">
        <v>1640</v>
      </c>
      <c r="C38" s="784">
        <v>87473353</v>
      </c>
      <c r="D38" s="785"/>
      <c r="E38" s="784">
        <v>130837030</v>
      </c>
      <c r="F38" s="785">
        <v>87473353</v>
      </c>
      <c r="G38" s="784">
        <v>130837030</v>
      </c>
      <c r="H38" s="785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26.4" customHeight="1">
      <c r="A39" s="783" t="s">
        <v>1642</v>
      </c>
      <c r="B39" s="783" t="s">
        <v>1643</v>
      </c>
      <c r="C39" s="785">
        <v>7349490</v>
      </c>
      <c r="D39" s="784"/>
      <c r="E39" s="785"/>
      <c r="F39" s="785">
        <v>7349490</v>
      </c>
      <c r="G39" s="785"/>
      <c r="H39" s="784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26.4" customHeight="1">
      <c r="A40" s="783" t="s">
        <v>1644</v>
      </c>
      <c r="B40" s="783" t="s">
        <v>295</v>
      </c>
      <c r="C40" s="784">
        <v>2.8202258525E10</v>
      </c>
      <c r="D40" s="784"/>
      <c r="E40" s="785">
        <v>5.294648115E9</v>
      </c>
      <c r="F40" s="785"/>
      <c r="G40" s="784">
        <v>3.349690664E10</v>
      </c>
      <c r="H40" s="785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26.4" customHeight="1">
      <c r="A41" s="783" t="s">
        <v>1647</v>
      </c>
      <c r="B41" s="783" t="s">
        <v>1648</v>
      </c>
      <c r="C41" s="784">
        <v>8260000</v>
      </c>
      <c r="D41" s="784">
        <v>8200000</v>
      </c>
      <c r="E41" s="785"/>
      <c r="F41" s="785">
        <v>60000</v>
      </c>
      <c r="G41" s="785"/>
      <c r="H41" s="784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26.4" customHeight="1">
      <c r="A42" s="783" t="s">
        <v>1650</v>
      </c>
      <c r="B42" s="783" t="s">
        <v>1651</v>
      </c>
      <c r="C42" s="784"/>
      <c r="D42" s="785">
        <v>2.9055421827E10</v>
      </c>
      <c r="E42" s="785"/>
      <c r="F42" s="784">
        <v>5.332269946E9</v>
      </c>
      <c r="G42" s="784"/>
      <c r="H42" s="784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26.4" customHeight="1">
      <c r="A43" s="783" t="s">
        <v>1653</v>
      </c>
      <c r="B43" s="783" t="s">
        <v>1654</v>
      </c>
      <c r="C43" s="785">
        <v>29887116</v>
      </c>
      <c r="D43" s="784">
        <v>6805000</v>
      </c>
      <c r="E43" s="784">
        <v>7290000</v>
      </c>
      <c r="F43" s="784">
        <v>11964931</v>
      </c>
      <c r="G43" s="785">
        <v>18407185</v>
      </c>
      <c r="H43" s="784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26.4" customHeight="1">
      <c r="A44" s="783" t="s">
        <v>1656</v>
      </c>
      <c r="B44" s="783" t="s">
        <v>1657</v>
      </c>
      <c r="C44" s="785"/>
      <c r="D44" s="784">
        <v>3327014</v>
      </c>
      <c r="E44" s="785">
        <v>106165794</v>
      </c>
      <c r="F44" s="785">
        <v>102838780</v>
      </c>
      <c r="G44" s="785"/>
      <c r="H44" s="784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>
        <v>126000</v>
      </c>
      <c r="E45" s="785">
        <v>5655823</v>
      </c>
      <c r="F45" s="785">
        <v>6182481</v>
      </c>
      <c r="G45" s="784"/>
      <c r="H45" s="785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26.4" customHeight="1">
      <c r="A46" s="783" t="s">
        <v>1663</v>
      </c>
      <c r="B46" s="783" t="s">
        <v>1664</v>
      </c>
      <c r="C46" s="784"/>
      <c r="D46" s="785">
        <v>496275</v>
      </c>
      <c r="E46" s="785">
        <v>5343531</v>
      </c>
      <c r="F46" s="785">
        <v>6545928</v>
      </c>
      <c r="G46" s="784"/>
      <c r="H46" s="785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26.4" customHeight="1">
      <c r="A47" s="783" t="s">
        <v>1666</v>
      </c>
      <c r="B47" s="783" t="s">
        <v>1667</v>
      </c>
      <c r="C47" s="785"/>
      <c r="D47" s="784">
        <v>19930950</v>
      </c>
      <c r="E47" s="785">
        <v>19930950</v>
      </c>
      <c r="F47" s="785">
        <v>15445350</v>
      </c>
      <c r="G47" s="784"/>
      <c r="H47" s="784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26.4" customHeight="1">
      <c r="A48" s="783" t="s">
        <v>1669</v>
      </c>
      <c r="B48" s="783" t="s">
        <v>1670</v>
      </c>
      <c r="C48" s="784"/>
      <c r="D48" s="784">
        <v>66000</v>
      </c>
      <c r="E48" s="785"/>
      <c r="F48" s="785"/>
      <c r="G48" s="784"/>
      <c r="H48" s="785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26.4" customHeight="1">
      <c r="A49" s="783" t="s">
        <v>1672</v>
      </c>
      <c r="B49" s="783" t="s">
        <v>1673</v>
      </c>
      <c r="C49" s="784"/>
      <c r="D49" s="785"/>
      <c r="E49" s="785">
        <v>199564</v>
      </c>
      <c r="F49" s="785"/>
      <c r="G49" s="784">
        <v>199564</v>
      </c>
      <c r="H49" s="785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>
        <v>137500</v>
      </c>
      <c r="E50" s="785">
        <v>2893783</v>
      </c>
      <c r="F50" s="784">
        <v>3046654</v>
      </c>
      <c r="G50" s="785"/>
      <c r="H50" s="784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26.4" customHeight="1">
      <c r="A51" s="783" t="s">
        <v>1679</v>
      </c>
      <c r="B51" s="783" t="s">
        <v>1680</v>
      </c>
      <c r="C51" s="784"/>
      <c r="D51" s="785"/>
      <c r="E51" s="785">
        <v>3707183</v>
      </c>
      <c r="F51" s="785">
        <v>3707183</v>
      </c>
      <c r="G51" s="784"/>
      <c r="H51" s="785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26.4" customHeight="1">
      <c r="A52" s="783" t="s">
        <v>1682</v>
      </c>
      <c r="B52" s="783" t="s">
        <v>1683</v>
      </c>
      <c r="C52" s="784"/>
      <c r="D52" s="785">
        <v>2951700</v>
      </c>
      <c r="E52" s="785"/>
      <c r="F52" s="785"/>
      <c r="G52" s="784"/>
      <c r="H52" s="785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26.4" customHeight="1">
      <c r="A53" s="783" t="s">
        <v>1685</v>
      </c>
      <c r="B53" s="783" t="s">
        <v>1686</v>
      </c>
      <c r="C53" s="784">
        <v>630308</v>
      </c>
      <c r="D53" s="785"/>
      <c r="E53" s="784"/>
      <c r="F53" s="784"/>
      <c r="G53" s="784">
        <v>630308</v>
      </c>
      <c r="H53" s="785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>
        <v>366814</v>
      </c>
      <c r="D54" s="784"/>
      <c r="E54" s="785"/>
      <c r="F54" s="784"/>
      <c r="G54" s="785">
        <v>366814</v>
      </c>
      <c r="H54" s="784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26.4" customHeight="1">
      <c r="A55" s="783" t="s">
        <v>1692</v>
      </c>
      <c r="B55" s="783" t="s">
        <v>1693</v>
      </c>
      <c r="C55" s="785">
        <v>5237217</v>
      </c>
      <c r="D55" s="784"/>
      <c r="E55" s="785"/>
      <c r="F55" s="784"/>
      <c r="G55" s="785">
        <v>5237217</v>
      </c>
      <c r="H55" s="784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26.4" customHeight="1">
      <c r="A56" s="783" t="s">
        <v>1695</v>
      </c>
      <c r="B56" s="783" t="s">
        <v>1696</v>
      </c>
      <c r="C56" s="784"/>
      <c r="D56" s="785">
        <v>7374167</v>
      </c>
      <c r="E56" s="785"/>
      <c r="F56" s="785"/>
      <c r="G56" s="784"/>
      <c r="H56" s="785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26.4" customHeight="1">
      <c r="A57" s="783" t="s">
        <v>1698</v>
      </c>
      <c r="B57" s="783" t="s">
        <v>1699</v>
      </c>
      <c r="C57" s="784"/>
      <c r="D57" s="784">
        <v>23000000</v>
      </c>
      <c r="E57" s="785"/>
      <c r="F57" s="785"/>
      <c r="G57" s="784"/>
      <c r="H57" s="784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26.4" customHeight="1">
      <c r="A58" s="783" t="s">
        <v>1700</v>
      </c>
      <c r="B58" s="783" t="s">
        <v>1701</v>
      </c>
      <c r="C58" s="784">
        <v>77023740</v>
      </c>
      <c r="D58" s="785"/>
      <c r="E58" s="784">
        <v>5.33282811E9</v>
      </c>
      <c r="F58" s="784">
        <v>5.230419074E9</v>
      </c>
      <c r="G58" s="784">
        <v>179432776</v>
      </c>
      <c r="H58" s="785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26.4" customHeight="1">
      <c r="A59" s="783" t="s">
        <v>1703</v>
      </c>
      <c r="B59" s="783" t="s">
        <v>1705</v>
      </c>
      <c r="C59" s="784">
        <v>12214769</v>
      </c>
      <c r="D59" s="784"/>
      <c r="E59" s="785"/>
      <c r="F59" s="784">
        <v>10666849</v>
      </c>
      <c r="G59" s="785">
        <v>1547920</v>
      </c>
      <c r="H59" s="784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26.4" customHeight="1">
      <c r="A60" s="783" t="s">
        <v>1707</v>
      </c>
      <c r="B60" s="783" t="s">
        <v>1708</v>
      </c>
      <c r="C60" s="785">
        <v>3179782</v>
      </c>
      <c r="D60" s="784"/>
      <c r="E60" s="784">
        <v>7.98716E8</v>
      </c>
      <c r="F60" s="784">
        <v>7.61923588E8</v>
      </c>
      <c r="G60" s="785">
        <v>39972194</v>
      </c>
      <c r="H60" s="784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26.4" customHeight="1">
      <c r="A61" s="783" t="s">
        <v>1709</v>
      </c>
      <c r="B61" s="783" t="s">
        <v>1710</v>
      </c>
      <c r="C61" s="785"/>
      <c r="D61" s="784"/>
      <c r="E61" s="784">
        <v>7.93006E8</v>
      </c>
      <c r="F61" s="784">
        <v>7.93006E8</v>
      </c>
      <c r="G61" s="785"/>
      <c r="H61" s="784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26.4" customHeight="1">
      <c r="A62" s="783" t="s">
        <v>1711</v>
      </c>
      <c r="B62" s="783" t="s">
        <v>1712</v>
      </c>
      <c r="C62" s="785"/>
      <c r="D62" s="784"/>
      <c r="E62" s="784">
        <v>4.195126324E9</v>
      </c>
      <c r="F62" s="784"/>
      <c r="G62" s="785">
        <v>4.195126324E9</v>
      </c>
      <c r="H62" s="784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26.4" customHeight="1">
      <c r="A63" s="783" t="s">
        <v>1713</v>
      </c>
      <c r="B63" s="783" t="s">
        <v>1714</v>
      </c>
      <c r="C63" s="784"/>
      <c r="D63" s="785"/>
      <c r="E63" s="784">
        <v>566973</v>
      </c>
      <c r="F63" s="784"/>
      <c r="G63" s="784">
        <v>566973</v>
      </c>
      <c r="H63" s="785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26.4" customHeight="1">
      <c r="A64" s="783" t="s">
        <v>1716</v>
      </c>
      <c r="B64" s="783" t="s">
        <v>1718</v>
      </c>
      <c r="C64" s="784"/>
      <c r="D64" s="785"/>
      <c r="E64" s="784">
        <v>433749204</v>
      </c>
      <c r="F64" s="784">
        <v>365270359</v>
      </c>
      <c r="G64" s="784">
        <v>68478845</v>
      </c>
      <c r="H64" s="785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26.4" customHeight="1">
      <c r="A65" s="783" t="s">
        <v>1720</v>
      </c>
      <c r="B65" s="783" t="s">
        <v>1721</v>
      </c>
      <c r="C65" s="785"/>
      <c r="D65" s="784"/>
      <c r="E65" s="785">
        <v>2631800</v>
      </c>
      <c r="F65" s="785"/>
      <c r="G65" s="785">
        <v>2631800</v>
      </c>
      <c r="H65" s="784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26.4" customHeight="1">
      <c r="A66" s="783" t="s">
        <v>1722</v>
      </c>
      <c r="B66" s="783" t="s">
        <v>1723</v>
      </c>
      <c r="C66" s="785"/>
      <c r="D66" s="784"/>
      <c r="E66" s="784">
        <v>7665142</v>
      </c>
      <c r="F66" s="785"/>
      <c r="G66" s="785">
        <v>7665142</v>
      </c>
      <c r="H66" s="784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26.4" customHeight="1">
      <c r="A67" s="783" t="s">
        <v>1724</v>
      </c>
      <c r="B67" s="783" t="s">
        <v>1725</v>
      </c>
      <c r="C67" s="785"/>
      <c r="D67" s="784"/>
      <c r="E67" s="785">
        <v>8656214</v>
      </c>
      <c r="F67" s="785"/>
      <c r="G67" s="785">
        <v>8656214</v>
      </c>
      <c r="H67" s="784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26.4" customHeight="1">
      <c r="A68" s="783" t="s">
        <v>1726</v>
      </c>
      <c r="B68" s="783" t="s">
        <v>1727</v>
      </c>
      <c r="C68" s="784"/>
      <c r="D68" s="784"/>
      <c r="E68" s="785">
        <v>47319400</v>
      </c>
      <c r="F68" s="785">
        <v>10904500</v>
      </c>
      <c r="G68" s="784">
        <v>36414900</v>
      </c>
      <c r="H68" s="784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26.4" customHeight="1">
      <c r="A69" s="783" t="s">
        <v>1729</v>
      </c>
      <c r="B69" s="783" t="s">
        <v>1730</v>
      </c>
      <c r="C69" s="784"/>
      <c r="D69" s="784"/>
      <c r="E69" s="785">
        <v>2078714</v>
      </c>
      <c r="F69" s="784"/>
      <c r="G69" s="785">
        <v>2078714</v>
      </c>
      <c r="H69" s="784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26.4" customHeight="1">
      <c r="A70" s="783" t="s">
        <v>1732</v>
      </c>
      <c r="B70" s="783" t="s">
        <v>1733</v>
      </c>
      <c r="C70" s="784"/>
      <c r="D70" s="784"/>
      <c r="E70" s="785">
        <v>3419980</v>
      </c>
      <c r="F70" s="785"/>
      <c r="G70" s="784">
        <v>3419980</v>
      </c>
      <c r="H70" s="785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3169599</v>
      </c>
      <c r="F71" s="784"/>
      <c r="G71" s="785">
        <v>3169599</v>
      </c>
      <c r="H71" s="784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26.4" customHeight="1">
      <c r="A72" s="783" t="s">
        <v>1739</v>
      </c>
      <c r="B72" s="783" t="s">
        <v>1740</v>
      </c>
      <c r="C72" s="784"/>
      <c r="D72" s="784"/>
      <c r="E72" s="785">
        <v>2893567</v>
      </c>
      <c r="F72" s="784"/>
      <c r="G72" s="785">
        <v>2893567</v>
      </c>
      <c r="H72" s="784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26.4" customHeight="1">
      <c r="A73" s="783" t="s">
        <v>1741</v>
      </c>
      <c r="B73" s="783" t="s">
        <v>1742</v>
      </c>
      <c r="C73" s="784"/>
      <c r="D73" s="784"/>
      <c r="E73" s="785">
        <v>57320000</v>
      </c>
      <c r="F73" s="784"/>
      <c r="G73" s="785">
        <v>57320000</v>
      </c>
      <c r="H73" s="784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26.4" customHeight="1">
      <c r="A74" s="783" t="s">
        <v>1743</v>
      </c>
      <c r="B74" s="783" t="s">
        <v>1744</v>
      </c>
      <c r="C74" s="784"/>
      <c r="D74" s="784"/>
      <c r="E74" s="785">
        <v>14193000</v>
      </c>
      <c r="F74" s="785"/>
      <c r="G74" s="785">
        <v>14193000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8580</v>
      </c>
      <c r="F75" s="784"/>
      <c r="G75" s="785">
        <v>8580</v>
      </c>
      <c r="H75" s="784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26.4" customHeight="1">
      <c r="A76" s="783" t="s">
        <v>1750</v>
      </c>
      <c r="B76" s="783" t="s">
        <v>1751</v>
      </c>
      <c r="C76" s="784"/>
      <c r="D76" s="784"/>
      <c r="E76" s="785">
        <v>100975325</v>
      </c>
      <c r="F76" s="784"/>
      <c r="G76" s="785">
        <v>100975325</v>
      </c>
      <c r="H76" s="784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26.4" customHeight="1">
      <c r="A77" s="783" t="s">
        <v>1753</v>
      </c>
      <c r="B77" s="783" t="s">
        <v>1754</v>
      </c>
      <c r="C77" s="784"/>
      <c r="D77" s="784"/>
      <c r="E77" s="785">
        <v>88268051</v>
      </c>
      <c r="F77" s="784"/>
      <c r="G77" s="785">
        <v>88268051</v>
      </c>
      <c r="H77" s="784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26.4" customHeight="1">
      <c r="A78" s="783" t="s">
        <v>1756</v>
      </c>
      <c r="B78" s="783" t="s">
        <v>1757</v>
      </c>
      <c r="C78" s="784"/>
      <c r="D78" s="784"/>
      <c r="E78" s="785">
        <v>2823400</v>
      </c>
      <c r="F78" s="784"/>
      <c r="G78" s="785">
        <v>2823400</v>
      </c>
      <c r="H78" s="784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1489547</v>
      </c>
      <c r="F79" s="784"/>
      <c r="G79" s="785">
        <v>1489547</v>
      </c>
      <c r="H79" s="784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26.4" customHeight="1">
      <c r="A80" s="783" t="s">
        <v>1762</v>
      </c>
      <c r="B80" s="783" t="s">
        <v>1763</v>
      </c>
      <c r="C80" s="784"/>
      <c r="D80" s="784"/>
      <c r="E80" s="785">
        <v>6097992</v>
      </c>
      <c r="F80" s="784"/>
      <c r="G80" s="785">
        <v>6097992</v>
      </c>
      <c r="H80" s="784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26.4" customHeight="1">
      <c r="A81" s="783" t="s">
        <v>1765</v>
      </c>
      <c r="B81" s="783" t="s">
        <v>1766</v>
      </c>
      <c r="C81" s="784"/>
      <c r="D81" s="784"/>
      <c r="E81" s="785">
        <v>9329619</v>
      </c>
      <c r="F81" s="784"/>
      <c r="G81" s="785">
        <v>9329619</v>
      </c>
      <c r="H81" s="784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26.4" customHeight="1">
      <c r="A82" s="783" t="s">
        <v>1768</v>
      </c>
      <c r="B82" s="783" t="s">
        <v>1769</v>
      </c>
      <c r="C82" s="784"/>
      <c r="D82" s="784"/>
      <c r="E82" s="785">
        <v>75000</v>
      </c>
      <c r="F82" s="784"/>
      <c r="G82" s="785">
        <v>75000</v>
      </c>
      <c r="H82" s="784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8803167</v>
      </c>
      <c r="F83" s="784"/>
      <c r="G83" s="785">
        <v>8803167</v>
      </c>
      <c r="H83" s="784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26.4" customHeight="1">
      <c r="A84" s="783" t="s">
        <v>1775</v>
      </c>
      <c r="B84" s="783" t="s">
        <v>1776</v>
      </c>
      <c r="C84" s="784"/>
      <c r="D84" s="784"/>
      <c r="E84" s="785">
        <v>23778153</v>
      </c>
      <c r="F84" s="784"/>
      <c r="G84" s="785">
        <v>23778153</v>
      </c>
      <c r="H84" s="784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26.4" customHeight="1">
      <c r="A85" s="783" t="s">
        <v>1777</v>
      </c>
      <c r="B85" s="783" t="s">
        <v>1778</v>
      </c>
      <c r="C85" s="784"/>
      <c r="D85" s="784"/>
      <c r="E85" s="785">
        <v>595000</v>
      </c>
      <c r="F85" s="784"/>
      <c r="G85" s="785">
        <v>595000</v>
      </c>
      <c r="H85" s="784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26.4" customHeight="1">
      <c r="A86" s="783" t="s">
        <v>1780</v>
      </c>
      <c r="B86" s="783" t="s">
        <v>1781</v>
      </c>
      <c r="C86" s="784"/>
      <c r="D86" s="784"/>
      <c r="E86" s="785">
        <v>4320000</v>
      </c>
      <c r="F86" s="784"/>
      <c r="G86" s="785">
        <v>4320000</v>
      </c>
      <c r="H86" s="784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105</v>
      </c>
      <c r="C87" s="784"/>
      <c r="D87" s="784"/>
      <c r="E87" s="785">
        <v>41297</v>
      </c>
      <c r="F87" s="784"/>
      <c r="G87" s="785">
        <v>41297</v>
      </c>
      <c r="H87" s="784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26.4" customHeight="1">
      <c r="A88" s="783" t="s">
        <v>1785</v>
      </c>
      <c r="B88" s="783" t="s">
        <v>1786</v>
      </c>
      <c r="C88" s="784"/>
      <c r="D88" s="784"/>
      <c r="E88" s="785">
        <v>1579122</v>
      </c>
      <c r="F88" s="784"/>
      <c r="G88" s="785">
        <v>1579122</v>
      </c>
      <c r="H88" s="784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26.4" customHeight="1">
      <c r="A89" s="783" t="s">
        <v>1787</v>
      </c>
      <c r="B89" s="783" t="s">
        <v>1788</v>
      </c>
      <c r="C89" s="784"/>
      <c r="D89" s="784"/>
      <c r="E89" s="785">
        <v>11403262</v>
      </c>
      <c r="F89" s="784">
        <v>102375</v>
      </c>
      <c r="G89" s="785">
        <v>11300887</v>
      </c>
      <c r="H89" s="784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26.4" customHeight="1">
      <c r="A90" s="783" t="s">
        <v>1789</v>
      </c>
      <c r="B90" s="783" t="s">
        <v>1790</v>
      </c>
      <c r="C90" s="784"/>
      <c r="D90" s="784"/>
      <c r="E90" s="785">
        <v>9777600</v>
      </c>
      <c r="F90" s="784">
        <v>1100000</v>
      </c>
      <c r="G90" s="785">
        <v>8677600</v>
      </c>
      <c r="H90" s="784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26.4" customHeight="1">
      <c r="A91" s="783" t="s">
        <v>1792</v>
      </c>
      <c r="B91" s="783" t="s">
        <v>1793</v>
      </c>
      <c r="C91" s="784"/>
      <c r="D91" s="784"/>
      <c r="E91" s="785">
        <v>8625000</v>
      </c>
      <c r="F91" s="784"/>
      <c r="G91" s="785">
        <v>8625000</v>
      </c>
      <c r="H91" s="784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26.4" customHeight="1">
      <c r="A92" s="783" t="s">
        <v>1794</v>
      </c>
      <c r="B92" s="783" t="s">
        <v>1795</v>
      </c>
      <c r="C92" s="784"/>
      <c r="D92" s="784"/>
      <c r="E92" s="785">
        <v>42708533</v>
      </c>
      <c r="F92" s="784"/>
      <c r="G92" s="785">
        <v>42708533</v>
      </c>
      <c r="H92" s="784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48166076</v>
      </c>
      <c r="F93" s="784"/>
      <c r="G93" s="785">
        <v>48166076</v>
      </c>
      <c r="H93" s="784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26.4" customHeight="1">
      <c r="A94" s="783" t="s">
        <v>1801</v>
      </c>
      <c r="B94" s="783" t="s">
        <v>1802</v>
      </c>
      <c r="C94" s="784"/>
      <c r="D94" s="784"/>
      <c r="E94" s="785">
        <v>41300</v>
      </c>
      <c r="F94" s="784"/>
      <c r="G94" s="785">
        <v>41300</v>
      </c>
      <c r="H94" s="784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26.4" customHeight="1">
      <c r="A95" s="783" t="s">
        <v>1804</v>
      </c>
      <c r="B95" s="783" t="s">
        <v>1805</v>
      </c>
      <c r="C95" s="784"/>
      <c r="D95" s="784"/>
      <c r="E95" s="785">
        <v>934423</v>
      </c>
      <c r="F95" s="784"/>
      <c r="G95" s="785">
        <v>934423</v>
      </c>
      <c r="H95" s="784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24151956</v>
      </c>
      <c r="F96" s="784"/>
      <c r="G96" s="785">
        <v>24151956</v>
      </c>
      <c r="H96" s="784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26.4" customHeight="1">
      <c r="A97" s="783" t="s">
        <v>1811</v>
      </c>
      <c r="B97" s="783" t="s">
        <v>1812</v>
      </c>
      <c r="C97" s="784"/>
      <c r="D97" s="784"/>
      <c r="E97" s="785">
        <v>452624</v>
      </c>
      <c r="F97" s="784"/>
      <c r="G97" s="785">
        <v>452624</v>
      </c>
      <c r="H97" s="784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26.4" customHeight="1">
      <c r="A98" s="783" t="s">
        <v>1814</v>
      </c>
      <c r="B98" s="783" t="s">
        <v>1815</v>
      </c>
      <c r="C98" s="784"/>
      <c r="D98" s="784"/>
      <c r="E98" s="785">
        <v>23106116</v>
      </c>
      <c r="F98" s="784"/>
      <c r="G98" s="785">
        <v>23106116</v>
      </c>
      <c r="H98" s="784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26.4" customHeight="1">
      <c r="A99" s="783" t="s">
        <v>1817</v>
      </c>
      <c r="B99" s="783" t="s">
        <v>1818</v>
      </c>
      <c r="C99" s="784"/>
      <c r="D99" s="784"/>
      <c r="E99" s="785">
        <v>74143628</v>
      </c>
      <c r="F99" s="784"/>
      <c r="G99" s="785">
        <v>74143628</v>
      </c>
      <c r="H99" s="784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5166230</v>
      </c>
      <c r="F100" s="785"/>
      <c r="G100" s="785">
        <v>5166230</v>
      </c>
      <c r="H100" s="784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26.4" customHeight="1">
      <c r="A101" s="783" t="s">
        <v>1823</v>
      </c>
      <c r="B101" s="783" t="s">
        <v>1824</v>
      </c>
      <c r="C101" s="784"/>
      <c r="D101" s="784"/>
      <c r="E101" s="785">
        <v>2100000</v>
      </c>
      <c r="F101" s="784"/>
      <c r="G101" s="785">
        <v>2100000</v>
      </c>
      <c r="H101" s="784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26.4" customHeight="1">
      <c r="A102" s="783" t="s">
        <v>1826</v>
      </c>
      <c r="B102" s="783" t="s">
        <v>1827</v>
      </c>
      <c r="C102" s="784"/>
      <c r="D102" s="784"/>
      <c r="E102" s="785">
        <v>45123838</v>
      </c>
      <c r="F102" s="784"/>
      <c r="G102" s="785">
        <v>45123838</v>
      </c>
      <c r="H102" s="784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7358000</v>
      </c>
      <c r="F103" s="784"/>
      <c r="G103" s="785">
        <v>7358000</v>
      </c>
      <c r="H103" s="784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26.4" customHeight="1">
      <c r="A104" s="783" t="s">
        <v>1832</v>
      </c>
      <c r="B104" s="783" t="s">
        <v>1833</v>
      </c>
      <c r="C104" s="784"/>
      <c r="D104" s="784"/>
      <c r="E104" s="785">
        <v>51565624</v>
      </c>
      <c r="F104" s="784"/>
      <c r="G104" s="785">
        <v>51565624</v>
      </c>
      <c r="H104" s="784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1837</v>
      </c>
      <c r="C105" s="784"/>
      <c r="D105" s="784"/>
      <c r="E105" s="785">
        <v>4456344</v>
      </c>
      <c r="F105" s="784"/>
      <c r="G105" s="785">
        <v>4456344</v>
      </c>
      <c r="H105" s="784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26.4" customHeight="1">
      <c r="A106" s="783" t="s">
        <v>1838</v>
      </c>
      <c r="B106" s="783" t="s">
        <v>1839</v>
      </c>
      <c r="C106" s="784"/>
      <c r="D106" s="784"/>
      <c r="E106" s="785">
        <v>365000</v>
      </c>
      <c r="F106" s="784"/>
      <c r="G106" s="785">
        <v>365000</v>
      </c>
      <c r="H106" s="784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26.4" customHeight="1">
      <c r="A107" s="783" t="s">
        <v>1840</v>
      </c>
      <c r="B107" s="783" t="s">
        <v>1841</v>
      </c>
      <c r="C107" s="784"/>
      <c r="D107" s="784"/>
      <c r="E107" s="785">
        <v>3267707</v>
      </c>
      <c r="F107" s="784"/>
      <c r="G107" s="785">
        <v>3267707</v>
      </c>
      <c r="H107" s="784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10110037</v>
      </c>
      <c r="F108" s="784"/>
      <c r="G108" s="785">
        <v>10110037</v>
      </c>
      <c r="H108" s="784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1530000</v>
      </c>
      <c r="F109" s="784"/>
      <c r="G109" s="785">
        <v>1530000</v>
      </c>
      <c r="H109" s="784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167527975</v>
      </c>
      <c r="F110" s="784"/>
      <c r="G110" s="785">
        <v>167527975</v>
      </c>
      <c r="H110" s="784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26.4" customHeight="1">
      <c r="A111" s="783" t="s">
        <v>1854</v>
      </c>
      <c r="B111" s="783" t="s">
        <v>1855</v>
      </c>
      <c r="C111" s="784"/>
      <c r="D111" s="784"/>
      <c r="E111" s="785"/>
      <c r="F111" s="784">
        <v>5.294648115E9</v>
      </c>
      <c r="G111" s="785"/>
      <c r="H111" s="784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26.4" customHeight="1">
      <c r="A112" s="783" t="s">
        <v>1857</v>
      </c>
      <c r="B112" s="783" t="s">
        <v>1858</v>
      </c>
      <c r="C112" s="784"/>
      <c r="D112" s="784"/>
      <c r="E112" s="785">
        <v>15445350</v>
      </c>
      <c r="F112" s="784"/>
      <c r="G112" s="785">
        <v>15445350</v>
      </c>
      <c r="H112" s="784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26.4" customHeight="1">
      <c r="A113" s="783"/>
      <c r="B113" s="783"/>
      <c r="C113" s="784"/>
      <c r="D113" s="784"/>
      <c r="E113" s="785"/>
      <c r="F113" s="784"/>
      <c r="G113" s="785"/>
      <c r="H113" s="784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26.4" customHeight="1">
      <c r="A114" s="783"/>
      <c r="B114" s="783"/>
      <c r="C114" s="784"/>
      <c r="D114" s="784"/>
      <c r="E114" s="785"/>
      <c r="F114" s="784"/>
      <c r="G114" s="785"/>
      <c r="H114" s="784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26.4" customHeight="1">
      <c r="A115" s="783"/>
      <c r="B115" s="783"/>
      <c r="C115" s="784"/>
      <c r="D115" s="784"/>
      <c r="E115" s="785"/>
      <c r="F115" s="784"/>
      <c r="G115" s="785"/>
      <c r="H115" s="784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26.4" customHeight="1">
      <c r="A116" s="783"/>
      <c r="B116" s="783"/>
      <c r="C116" s="784"/>
      <c r="D116" s="784"/>
      <c r="E116" s="785"/>
      <c r="F116" s="784"/>
      <c r="G116" s="785"/>
      <c r="H116" s="784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26.4" customHeight="1">
      <c r="A117" s="783"/>
      <c r="B117" s="783"/>
      <c r="C117" s="784"/>
      <c r="D117" s="784"/>
      <c r="E117" s="785"/>
      <c r="F117" s="785"/>
      <c r="G117" s="784"/>
      <c r="H117" s="784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26.4" customHeight="1">
      <c r="A118" s="783"/>
      <c r="B118" s="783"/>
      <c r="C118" s="784"/>
      <c r="D118" s="784"/>
      <c r="E118" s="785"/>
      <c r="F118" s="784"/>
      <c r="G118" s="785"/>
      <c r="H118" s="784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26.4" customHeight="1">
      <c r="A119" s="783"/>
      <c r="B119" s="783"/>
      <c r="C119" s="784"/>
      <c r="D119" s="784"/>
      <c r="E119" s="785"/>
      <c r="F119" s="784"/>
      <c r="G119" s="785"/>
      <c r="H119" s="784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26.4" customHeight="1">
      <c r="A120" s="783"/>
      <c r="B120" s="783"/>
      <c r="C120" s="784"/>
      <c r="D120" s="784"/>
      <c r="E120" s="785"/>
      <c r="F120" s="784"/>
      <c r="G120" s="785"/>
      <c r="H120" s="784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26.4" customHeight="1">
      <c r="A121" s="783"/>
      <c r="B121" s="783"/>
      <c r="C121" s="784"/>
      <c r="D121" s="784"/>
      <c r="E121" s="785"/>
      <c r="F121" s="784"/>
      <c r="G121" s="785"/>
      <c r="H121" s="784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26.4" customHeight="1">
      <c r="A122" s="783"/>
      <c r="B122" s="783"/>
      <c r="C122" s="784"/>
      <c r="D122" s="784"/>
      <c r="E122" s="785"/>
      <c r="F122" s="784"/>
      <c r="G122" s="785"/>
      <c r="H122" s="784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26.4" customHeight="1">
      <c r="A123" s="783"/>
      <c r="B123" s="783"/>
      <c r="C123" s="784"/>
      <c r="D123" s="784"/>
      <c r="E123" s="785"/>
      <c r="F123" s="784"/>
      <c r="G123" s="785"/>
      <c r="H123" s="784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26.4" customHeight="1">
      <c r="A124" s="783"/>
      <c r="B124" s="783"/>
      <c r="C124" s="784"/>
      <c r="D124" s="784"/>
      <c r="E124" s="785"/>
      <c r="F124" s="784"/>
      <c r="G124" s="785"/>
      <c r="H124" s="784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26.4" customHeight="1">
      <c r="A125" s="783"/>
      <c r="B125" s="783"/>
      <c r="C125" s="784"/>
      <c r="D125" s="784"/>
      <c r="E125" s="785"/>
      <c r="F125" s="784"/>
      <c r="G125" s="785"/>
      <c r="H125" s="784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26.4" customHeight="1">
      <c r="A126" s="783"/>
      <c r="B126" s="783"/>
      <c r="C126" s="784"/>
      <c r="D126" s="784"/>
      <c r="E126" s="785"/>
      <c r="F126" s="784"/>
      <c r="G126" s="785"/>
      <c r="H126" s="784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26.4" customHeight="1">
      <c r="A127" s="783"/>
      <c r="B127" s="783"/>
      <c r="C127" s="784"/>
      <c r="D127" s="784"/>
      <c r="E127" s="785"/>
      <c r="F127" s="784"/>
      <c r="G127" s="785"/>
      <c r="H127" s="784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26.4" customHeight="1">
      <c r="A128" s="783"/>
      <c r="B128" s="783"/>
      <c r="C128" s="784"/>
      <c r="D128" s="784"/>
      <c r="E128" s="784"/>
      <c r="F128" s="785"/>
      <c r="G128" s="784"/>
      <c r="H128" s="785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26.4" customHeight="1">
      <c r="A129" s="783"/>
      <c r="B129" s="783"/>
      <c r="C129" s="784"/>
      <c r="D129" s="784"/>
      <c r="E129" s="785"/>
      <c r="F129" s="784"/>
      <c r="G129" s="785"/>
      <c r="H129" s="784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221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>
        <v>28800000</v>
      </c>
      <c r="G3" s="796"/>
      <c r="H3" s="797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>
        <v>9.51477399E8</v>
      </c>
      <c r="G4" s="796"/>
      <c r="H4" s="797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>
        <v>290958290</v>
      </c>
      <c r="F5" s="796"/>
      <c r="G5" s="796"/>
      <c r="H5" s="797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>
        <v>167236460</v>
      </c>
      <c r="F6" s="796"/>
      <c r="G6" s="796"/>
      <c r="H6" s="797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>
        <v>325128014</v>
      </c>
      <c r="F7" s="796"/>
      <c r="G7" s="796"/>
      <c r="H7" s="797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>
        <v>109430079</v>
      </c>
      <c r="F8" s="796"/>
      <c r="G8" s="796"/>
      <c r="H8" s="797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/>
      <c r="D9" s="796">
        <v>87524556</v>
      </c>
      <c r="E9" s="797">
        <v>87524556</v>
      </c>
      <c r="F9" s="796"/>
      <c r="G9" s="797"/>
      <c r="H9" s="796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13.2">
      <c r="A10" s="795" t="s">
        <v>1553</v>
      </c>
      <c r="B10" s="795" t="s">
        <v>1555</v>
      </c>
      <c r="C10" s="797">
        <v>146070000</v>
      </c>
      <c r="D10" s="796"/>
      <c r="E10" s="796">
        <v>107500000</v>
      </c>
      <c r="F10" s="796"/>
      <c r="G10" s="797">
        <v>253570000</v>
      </c>
      <c r="H10" s="796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13.2">
      <c r="A11" s="795" t="s">
        <v>1557</v>
      </c>
      <c r="B11" s="795" t="s">
        <v>1561</v>
      </c>
      <c r="C11" s="797">
        <v>1599000</v>
      </c>
      <c r="D11" s="796"/>
      <c r="E11" s="796">
        <v>1400000</v>
      </c>
      <c r="F11" s="796"/>
      <c r="G11" s="797">
        <v>2999000</v>
      </c>
      <c r="H11" s="796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13.2">
      <c r="A12" s="795" t="s">
        <v>1559</v>
      </c>
      <c r="B12" s="795" t="s">
        <v>1560</v>
      </c>
      <c r="C12" s="797">
        <v>474597458</v>
      </c>
      <c r="D12" s="796"/>
      <c r="E12" s="796"/>
      <c r="F12" s="796"/>
      <c r="G12" s="797">
        <v>474597458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13.2">
      <c r="A13" s="795" t="s">
        <v>1562</v>
      </c>
      <c r="B13" s="795" t="s">
        <v>1566</v>
      </c>
      <c r="C13" s="796">
        <v>108355497</v>
      </c>
      <c r="D13" s="796"/>
      <c r="E13" s="797"/>
      <c r="F13" s="796"/>
      <c r="G13" s="797">
        <v>108355497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13.2">
      <c r="A14" s="795" t="s">
        <v>1564</v>
      </c>
      <c r="B14" s="795" t="s">
        <v>1569</v>
      </c>
      <c r="C14" s="797">
        <v>518717871</v>
      </c>
      <c r="D14" s="796"/>
      <c r="E14" s="796"/>
      <c r="F14" s="796"/>
      <c r="G14" s="797">
        <v>518717871</v>
      </c>
      <c r="H14" s="796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13.2">
      <c r="A15" s="795" t="s">
        <v>1567</v>
      </c>
      <c r="B15" s="795" t="s">
        <v>1572</v>
      </c>
      <c r="C15" s="797">
        <v>268942370</v>
      </c>
      <c r="D15" s="796"/>
      <c r="E15" s="797"/>
      <c r="F15" s="796"/>
      <c r="G15" s="797">
        <v>268942370</v>
      </c>
      <c r="H15" s="796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161240234</v>
      </c>
      <c r="D16" s="796"/>
      <c r="E16" s="796"/>
      <c r="F16" s="796"/>
      <c r="G16" s="797">
        <v>161240234</v>
      </c>
      <c r="H16" s="796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13.2">
      <c r="A17" s="795" t="s">
        <v>1573</v>
      </c>
      <c r="B17" s="795" t="s">
        <v>1579</v>
      </c>
      <c r="C17" s="797">
        <v>16992250</v>
      </c>
      <c r="D17" s="796"/>
      <c r="E17" s="797">
        <v>1838250</v>
      </c>
      <c r="F17" s="797"/>
      <c r="G17" s="797">
        <v>18830500</v>
      </c>
      <c r="H17" s="796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13.2">
      <c r="A18" s="795" t="s">
        <v>1577</v>
      </c>
      <c r="B18" s="795" t="s">
        <v>1582</v>
      </c>
      <c r="C18" s="797">
        <v>53596539</v>
      </c>
      <c r="D18" s="796"/>
      <c r="E18" s="797">
        <v>49513650</v>
      </c>
      <c r="F18" s="796"/>
      <c r="G18" s="797">
        <v>103110189</v>
      </c>
      <c r="H18" s="796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13.2">
      <c r="A19" s="795" t="s">
        <v>1580</v>
      </c>
      <c r="B19" s="795" t="s">
        <v>1581</v>
      </c>
      <c r="C19" s="797">
        <v>427578375</v>
      </c>
      <c r="D19" s="796"/>
      <c r="E19" s="796">
        <v>20108194</v>
      </c>
      <c r="F19" s="796"/>
      <c r="G19" s="797">
        <v>447686569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13.2">
      <c r="A20" s="795" t="s">
        <v>1583</v>
      </c>
      <c r="B20" s="795" t="s">
        <v>1584</v>
      </c>
      <c r="C20" s="797">
        <v>496000</v>
      </c>
      <c r="D20" s="796"/>
      <c r="E20" s="797"/>
      <c r="F20" s="796"/>
      <c r="G20" s="797">
        <v>496000</v>
      </c>
      <c r="H20" s="796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/>
      <c r="D21" s="796"/>
      <c r="E21" s="796">
        <v>100000</v>
      </c>
      <c r="F21" s="796"/>
      <c r="G21" s="797">
        <v>100000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13.2">
      <c r="A22" s="795" t="s">
        <v>1585</v>
      </c>
      <c r="B22" s="795" t="s">
        <v>1593</v>
      </c>
      <c r="C22" s="797">
        <v>21284652</v>
      </c>
      <c r="D22" s="796"/>
      <c r="E22" s="796">
        <v>474000</v>
      </c>
      <c r="F22" s="796"/>
      <c r="G22" s="797">
        <v>21758652</v>
      </c>
      <c r="H22" s="796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13.2">
      <c r="A23" s="795" t="s">
        <v>1587</v>
      </c>
      <c r="B23" s="795" t="s">
        <v>1589</v>
      </c>
      <c r="C23" s="797">
        <v>4462000</v>
      </c>
      <c r="D23" s="796"/>
      <c r="E23" s="796"/>
      <c r="F23" s="796"/>
      <c r="G23" s="797">
        <v>4462000</v>
      </c>
      <c r="H23" s="796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13.2">
      <c r="A24" s="795" t="s">
        <v>1591</v>
      </c>
      <c r="B24" s="795" t="s">
        <v>1598</v>
      </c>
      <c r="C24" s="797">
        <v>65268881</v>
      </c>
      <c r="D24" s="796"/>
      <c r="E24" s="796">
        <v>90000</v>
      </c>
      <c r="F24" s="796"/>
      <c r="G24" s="797">
        <v>65358881</v>
      </c>
      <c r="H24" s="796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>
        <v>10138000</v>
      </c>
      <c r="F25" s="797">
        <v>6558000</v>
      </c>
      <c r="G25" s="796">
        <v>3580000</v>
      </c>
      <c r="H25" s="797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/>
      <c r="E26" s="796">
        <v>2318147</v>
      </c>
      <c r="F26" s="797"/>
      <c r="G26" s="796">
        <v>2318147</v>
      </c>
      <c r="H26" s="797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13.2">
      <c r="A27" s="795" t="s">
        <v>1594</v>
      </c>
      <c r="B27" s="795" t="s">
        <v>1609</v>
      </c>
      <c r="C27" s="796">
        <v>5463000</v>
      </c>
      <c r="D27" s="797"/>
      <c r="E27" s="796"/>
      <c r="F27" s="797"/>
      <c r="G27" s="796">
        <v>5463000</v>
      </c>
      <c r="H27" s="797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13.2">
      <c r="A28" s="795" t="s">
        <v>1596</v>
      </c>
      <c r="B28" s="795" t="s">
        <v>1597</v>
      </c>
      <c r="C28" s="796">
        <v>6717480</v>
      </c>
      <c r="D28" s="797"/>
      <c r="E28" s="796"/>
      <c r="F28" s="797"/>
      <c r="G28" s="796">
        <v>6717480</v>
      </c>
      <c r="H28" s="797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13.2">
      <c r="A29" s="795" t="s">
        <v>1599</v>
      </c>
      <c r="B29" s="795" t="s">
        <v>1614</v>
      </c>
      <c r="C29" s="796"/>
      <c r="D29" s="797">
        <v>79950</v>
      </c>
      <c r="E29" s="796"/>
      <c r="F29" s="797">
        <v>83450</v>
      </c>
      <c r="G29" s="796"/>
      <c r="H29" s="797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13.2">
      <c r="A30" s="795" t="s">
        <v>1603</v>
      </c>
      <c r="B30" s="795" t="s">
        <v>1605</v>
      </c>
      <c r="C30" s="796"/>
      <c r="D30" s="797">
        <v>377645399</v>
      </c>
      <c r="E30" s="796"/>
      <c r="F30" s="797">
        <v>57763368</v>
      </c>
      <c r="G30" s="796"/>
      <c r="H30" s="797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13.2">
      <c r="A31" s="795" t="s">
        <v>1607</v>
      </c>
      <c r="B31" s="795" t="s">
        <v>1619</v>
      </c>
      <c r="C31" s="796"/>
      <c r="D31" s="797"/>
      <c r="E31" s="796"/>
      <c r="F31" s="797">
        <v>13447119</v>
      </c>
      <c r="G31" s="796"/>
      <c r="H31" s="797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65793499</v>
      </c>
      <c r="E32" s="796"/>
      <c r="F32" s="797">
        <v>16124023</v>
      </c>
      <c r="G32" s="796"/>
      <c r="H32" s="797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13.2">
      <c r="A33" s="795" t="s">
        <v>1612</v>
      </c>
      <c r="B33" s="795" t="s">
        <v>1626</v>
      </c>
      <c r="C33" s="796"/>
      <c r="D33" s="797">
        <v>12861393</v>
      </c>
      <c r="E33" s="796"/>
      <c r="F33" s="796">
        <v>1867731</v>
      </c>
      <c r="G33" s="796"/>
      <c r="H33" s="797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13.2">
      <c r="A34" s="795" t="s">
        <v>1615</v>
      </c>
      <c r="B34" s="795" t="s">
        <v>1629</v>
      </c>
      <c r="C34" s="796"/>
      <c r="D34" s="797">
        <v>297514034</v>
      </c>
      <c r="E34" s="796"/>
      <c r="F34" s="797">
        <v>26814122</v>
      </c>
      <c r="G34" s="796"/>
      <c r="H34" s="797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13.2">
      <c r="A35" s="795" t="s">
        <v>1617</v>
      </c>
      <c r="B35" s="795" t="s">
        <v>1632</v>
      </c>
      <c r="C35" s="797"/>
      <c r="D35" s="796">
        <v>459713</v>
      </c>
      <c r="E35" s="797"/>
      <c r="F35" s="797">
        <v>24620</v>
      </c>
      <c r="G35" s="797"/>
      <c r="H35" s="796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13.2">
      <c r="A36" s="795" t="s">
        <v>1620</v>
      </c>
      <c r="B36" s="795" t="s">
        <v>1635</v>
      </c>
      <c r="C36" s="797"/>
      <c r="D36" s="797">
        <v>15998013</v>
      </c>
      <c r="E36" s="797"/>
      <c r="F36" s="797">
        <v>2583580</v>
      </c>
      <c r="G36" s="796"/>
      <c r="H36" s="796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13.2">
      <c r="A37" s="795" t="s">
        <v>1624</v>
      </c>
      <c r="B37" s="795" t="s">
        <v>1638</v>
      </c>
      <c r="C37" s="796"/>
      <c r="D37" s="797">
        <v>4462000</v>
      </c>
      <c r="E37" s="797"/>
      <c r="F37" s="797">
        <v>16667</v>
      </c>
      <c r="G37" s="796"/>
      <c r="H37" s="797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13.2">
      <c r="A38" s="795" t="s">
        <v>1627</v>
      </c>
      <c r="B38" s="795" t="s">
        <v>1641</v>
      </c>
      <c r="C38" s="797"/>
      <c r="D38" s="796">
        <v>58423140</v>
      </c>
      <c r="E38" s="797"/>
      <c r="F38" s="797">
        <v>4149241</v>
      </c>
      <c r="G38" s="797"/>
      <c r="H38" s="796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13.2">
      <c r="A39" s="795" t="s">
        <v>1630</v>
      </c>
      <c r="B39" s="795" t="s">
        <v>1631</v>
      </c>
      <c r="C39" s="797">
        <v>365270359</v>
      </c>
      <c r="D39" s="796"/>
      <c r="E39" s="796">
        <v>431895875</v>
      </c>
      <c r="F39" s="797">
        <v>365270359</v>
      </c>
      <c r="G39" s="796">
        <v>431895875</v>
      </c>
      <c r="H39" s="796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13.2">
      <c r="A40" s="795" t="s">
        <v>1645</v>
      </c>
      <c r="B40" s="795" t="s">
        <v>1646</v>
      </c>
      <c r="C40" s="797"/>
      <c r="D40" s="796"/>
      <c r="E40" s="797">
        <v>4.721812043E9</v>
      </c>
      <c r="F40" s="796">
        <v>4.726300688E9</v>
      </c>
      <c r="G40" s="797"/>
      <c r="H40" s="796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13.2">
      <c r="A41" s="795" t="s">
        <v>1633</v>
      </c>
      <c r="B41" s="795" t="s">
        <v>1649</v>
      </c>
      <c r="C41" s="797"/>
      <c r="D41" s="797"/>
      <c r="E41" s="796">
        <v>1.114709403E9</v>
      </c>
      <c r="F41" s="797">
        <v>1.099333737E9</v>
      </c>
      <c r="G41" s="796">
        <v>15375666</v>
      </c>
      <c r="H41" s="796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13.2">
      <c r="A42" s="795" t="s">
        <v>1636</v>
      </c>
      <c r="B42" s="795" t="s">
        <v>1652</v>
      </c>
      <c r="C42" s="796"/>
      <c r="D42" s="797">
        <v>3938800</v>
      </c>
      <c r="E42" s="796">
        <v>3938800</v>
      </c>
      <c r="F42" s="797"/>
      <c r="G42" s="796"/>
      <c r="H42" s="797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13.2">
      <c r="A43" s="795" t="s">
        <v>1639</v>
      </c>
      <c r="B43" s="795" t="s">
        <v>1655</v>
      </c>
      <c r="C43" s="797">
        <v>130837030</v>
      </c>
      <c r="D43" s="797"/>
      <c r="E43" s="797"/>
      <c r="F43" s="797"/>
      <c r="G43" s="797">
        <v>130837030</v>
      </c>
      <c r="H43" s="796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13.2">
      <c r="A44" s="795" t="s">
        <v>1644</v>
      </c>
      <c r="B44" s="795" t="s">
        <v>1658</v>
      </c>
      <c r="C44" s="796">
        <v>3.349690664E10</v>
      </c>
      <c r="D44" s="797"/>
      <c r="E44" s="797">
        <v>6.110078435E9</v>
      </c>
      <c r="F44" s="797">
        <v>3.9529551148E10</v>
      </c>
      <c r="G44" s="796">
        <v>77433927</v>
      </c>
      <c r="H44" s="796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/>
      <c r="E45" s="797">
        <v>6.032644998E9</v>
      </c>
      <c r="F45" s="797">
        <v>6.113893063E9</v>
      </c>
      <c r="G45" s="796"/>
      <c r="H45" s="797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13.2">
      <c r="A46" s="795" t="s">
        <v>1650</v>
      </c>
      <c r="B46" s="795" t="s">
        <v>1665</v>
      </c>
      <c r="C46" s="796"/>
      <c r="D46" s="797">
        <v>3.4387691773E10</v>
      </c>
      <c r="E46" s="797">
        <v>3.4387691773E10</v>
      </c>
      <c r="F46" s="797">
        <v>9.6821906E8</v>
      </c>
      <c r="G46" s="796"/>
      <c r="H46" s="797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13.2">
      <c r="A47" s="795" t="s">
        <v>1653</v>
      </c>
      <c r="B47" s="795" t="s">
        <v>1668</v>
      </c>
      <c r="C47" s="796">
        <v>18407185</v>
      </c>
      <c r="D47" s="797"/>
      <c r="E47" s="797">
        <v>2525000</v>
      </c>
      <c r="F47" s="797">
        <v>20932185</v>
      </c>
      <c r="G47" s="796"/>
      <c r="H47" s="797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13.2">
      <c r="A48" s="795" t="s">
        <v>1656</v>
      </c>
      <c r="B48" s="795" t="s">
        <v>1671</v>
      </c>
      <c r="C48" s="796"/>
      <c r="D48" s="797"/>
      <c r="E48" s="796">
        <v>50903972</v>
      </c>
      <c r="F48" s="796">
        <v>54726607</v>
      </c>
      <c r="G48" s="796"/>
      <c r="H48" s="797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13.2">
      <c r="A49" s="795" t="s">
        <v>1659</v>
      </c>
      <c r="B49" s="795" t="s">
        <v>1674</v>
      </c>
      <c r="C49" s="796"/>
      <c r="D49" s="796">
        <v>652658</v>
      </c>
      <c r="E49" s="797">
        <v>6567141</v>
      </c>
      <c r="F49" s="796">
        <v>7511396</v>
      </c>
      <c r="G49" s="797"/>
      <c r="H49" s="796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/>
      <c r="E50" s="797">
        <v>126485</v>
      </c>
      <c r="F50" s="797"/>
      <c r="G50" s="796">
        <v>126485</v>
      </c>
      <c r="H50" s="797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13.2">
      <c r="A51" s="795" t="s">
        <v>1663</v>
      </c>
      <c r="B51" s="795" t="s">
        <v>1681</v>
      </c>
      <c r="C51" s="796"/>
      <c r="D51" s="796">
        <v>1698672</v>
      </c>
      <c r="E51" s="797">
        <v>7443089</v>
      </c>
      <c r="F51" s="797">
        <v>7531940</v>
      </c>
      <c r="G51" s="796"/>
      <c r="H51" s="796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13.2">
      <c r="A52" s="795" t="s">
        <v>1666</v>
      </c>
      <c r="B52" s="795" t="s">
        <v>1684</v>
      </c>
      <c r="C52" s="796"/>
      <c r="D52" s="797">
        <v>15445350</v>
      </c>
      <c r="E52" s="796">
        <v>15445350</v>
      </c>
      <c r="F52" s="796">
        <v>17126791</v>
      </c>
      <c r="G52" s="796"/>
      <c r="H52" s="797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13.2">
      <c r="A53" s="795" t="s">
        <v>1669</v>
      </c>
      <c r="B53" s="795" t="s">
        <v>1687</v>
      </c>
      <c r="C53" s="797"/>
      <c r="D53" s="796">
        <v>66000</v>
      </c>
      <c r="E53" s="796"/>
      <c r="F53" s="796"/>
      <c r="G53" s="797"/>
      <c r="H53" s="796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/>
      <c r="D54" s="796"/>
      <c r="E54" s="796">
        <v>78407</v>
      </c>
      <c r="F54" s="796"/>
      <c r="G54" s="797">
        <v>78407</v>
      </c>
      <c r="H54" s="796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13.2">
      <c r="A55" s="795" t="s">
        <v>1672</v>
      </c>
      <c r="B55" s="795" t="s">
        <v>1694</v>
      </c>
      <c r="C55" s="797">
        <v>199564</v>
      </c>
      <c r="D55" s="796"/>
      <c r="E55" s="796">
        <v>480164</v>
      </c>
      <c r="F55" s="796"/>
      <c r="G55" s="797">
        <v>679728</v>
      </c>
      <c r="H55" s="796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13.2">
      <c r="A56" s="795" t="s">
        <v>1675</v>
      </c>
      <c r="B56" s="795" t="s">
        <v>1697</v>
      </c>
      <c r="C56" s="796"/>
      <c r="D56" s="797">
        <v>290371</v>
      </c>
      <c r="E56" s="796">
        <v>5006336</v>
      </c>
      <c r="F56" s="796">
        <v>4915609</v>
      </c>
      <c r="G56" s="796"/>
      <c r="H56" s="797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13.2">
      <c r="A57" s="795" t="s">
        <v>1679</v>
      </c>
      <c r="B57" s="795" t="s">
        <v>1680</v>
      </c>
      <c r="C57" s="796"/>
      <c r="D57" s="797"/>
      <c r="E57" s="796">
        <v>4723189</v>
      </c>
      <c r="F57" s="796">
        <v>4723189</v>
      </c>
      <c r="G57" s="796"/>
      <c r="H57" s="797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13.2">
      <c r="A58" s="795" t="s">
        <v>1682</v>
      </c>
      <c r="B58" s="795" t="s">
        <v>1702</v>
      </c>
      <c r="C58" s="797"/>
      <c r="D58" s="796">
        <v>2951700</v>
      </c>
      <c r="E58" s="797"/>
      <c r="F58" s="797"/>
      <c r="G58" s="797"/>
      <c r="H58" s="796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13.2">
      <c r="A59" s="795" t="s">
        <v>1704</v>
      </c>
      <c r="B59" s="795" t="s">
        <v>1706</v>
      </c>
      <c r="C59" s="797"/>
      <c r="D59" s="796"/>
      <c r="E59" s="796">
        <v>30000000</v>
      </c>
      <c r="F59" s="797"/>
      <c r="G59" s="797">
        <v>30000000</v>
      </c>
      <c r="H59" s="796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13.2">
      <c r="A60" s="795" t="s">
        <v>1685</v>
      </c>
      <c r="B60" s="795" t="s">
        <v>1686</v>
      </c>
      <c r="C60" s="797">
        <v>630308</v>
      </c>
      <c r="D60" s="796"/>
      <c r="E60" s="797"/>
      <c r="F60" s="797"/>
      <c r="G60" s="797">
        <v>630308</v>
      </c>
      <c r="H60" s="796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13.2">
      <c r="A61" s="795" t="s">
        <v>1688</v>
      </c>
      <c r="B61" s="795" t="s">
        <v>1690</v>
      </c>
      <c r="C61" s="796">
        <v>366814</v>
      </c>
      <c r="D61" s="796"/>
      <c r="E61" s="797"/>
      <c r="F61" s="797"/>
      <c r="G61" s="796">
        <v>366814</v>
      </c>
      <c r="H61" s="796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13.2">
      <c r="A62" s="795" t="s">
        <v>1692</v>
      </c>
      <c r="B62" s="795" t="s">
        <v>1693</v>
      </c>
      <c r="C62" s="796">
        <v>5237217</v>
      </c>
      <c r="D62" s="796"/>
      <c r="E62" s="797"/>
      <c r="F62" s="796"/>
      <c r="G62" s="797">
        <v>5237217</v>
      </c>
      <c r="H62" s="796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13.2">
      <c r="A63" s="795" t="s">
        <v>1695</v>
      </c>
      <c r="B63" s="795" t="s">
        <v>1715</v>
      </c>
      <c r="C63" s="796"/>
      <c r="D63" s="796">
        <v>7374167</v>
      </c>
      <c r="E63" s="797"/>
      <c r="F63" s="796"/>
      <c r="G63" s="797"/>
      <c r="H63" s="796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13.2">
      <c r="A64" s="795" t="s">
        <v>1717</v>
      </c>
      <c r="B64" s="795" t="s">
        <v>1719</v>
      </c>
      <c r="C64" s="796"/>
      <c r="D64" s="796">
        <v>23000000</v>
      </c>
      <c r="E64" s="797"/>
      <c r="F64" s="797"/>
      <c r="G64" s="797"/>
      <c r="H64" s="796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13.2">
      <c r="A65" s="795" t="s">
        <v>1700</v>
      </c>
      <c r="B65" s="795" t="s">
        <v>1701</v>
      </c>
      <c r="C65" s="796">
        <v>179432776</v>
      </c>
      <c r="D65" s="796"/>
      <c r="E65" s="797">
        <v>6.114809563E9</v>
      </c>
      <c r="F65" s="796">
        <v>6.049606195E9</v>
      </c>
      <c r="G65" s="797">
        <v>244636144</v>
      </c>
      <c r="H65" s="796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13.2">
      <c r="A66" s="795" t="s">
        <v>1703</v>
      </c>
      <c r="B66" s="795" t="s">
        <v>1705</v>
      </c>
      <c r="C66" s="796">
        <v>1547920</v>
      </c>
      <c r="D66" s="796"/>
      <c r="E66" s="797"/>
      <c r="F66" s="796">
        <v>1500000</v>
      </c>
      <c r="G66" s="797">
        <v>47920</v>
      </c>
      <c r="H66" s="796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13.2">
      <c r="A67" s="795" t="s">
        <v>1707</v>
      </c>
      <c r="B67" s="795" t="s">
        <v>1708</v>
      </c>
      <c r="C67" s="796">
        <v>39972194</v>
      </c>
      <c r="D67" s="796"/>
      <c r="E67" s="797">
        <v>1.376070891E9</v>
      </c>
      <c r="F67" s="796">
        <v>1.412805451E9</v>
      </c>
      <c r="G67" s="797">
        <v>3237634</v>
      </c>
      <c r="H67" s="796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13.2">
      <c r="A68" s="795" t="s">
        <v>1709</v>
      </c>
      <c r="B68" s="795" t="s">
        <v>1728</v>
      </c>
      <c r="C68" s="796"/>
      <c r="D68" s="796"/>
      <c r="E68" s="797">
        <v>1.369484885E9</v>
      </c>
      <c r="F68" s="797">
        <v>1.369484885E9</v>
      </c>
      <c r="G68" s="797"/>
      <c r="H68" s="796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13.2">
      <c r="A69" s="795" t="s">
        <v>1711</v>
      </c>
      <c r="B69" s="795" t="s">
        <v>1731</v>
      </c>
      <c r="C69" s="796"/>
      <c r="D69" s="796"/>
      <c r="E69" s="797">
        <v>4.805921959E9</v>
      </c>
      <c r="F69" s="796"/>
      <c r="G69" s="797">
        <v>4.805921959E9</v>
      </c>
      <c r="H69" s="796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13.2">
      <c r="A70" s="795" t="s">
        <v>1716</v>
      </c>
      <c r="B70" s="795" t="s">
        <v>1734</v>
      </c>
      <c r="C70" s="796"/>
      <c r="D70" s="796"/>
      <c r="E70" s="797">
        <v>365270359</v>
      </c>
      <c r="F70" s="796">
        <v>431895875</v>
      </c>
      <c r="G70" s="797"/>
      <c r="H70" s="796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129250</v>
      </c>
      <c r="F71" s="796"/>
      <c r="G71" s="797">
        <v>129250</v>
      </c>
      <c r="H71" s="796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13.2">
      <c r="A72" s="795" t="s">
        <v>1720</v>
      </c>
      <c r="B72" s="795" t="s">
        <v>1721</v>
      </c>
      <c r="C72" s="796"/>
      <c r="D72" s="796"/>
      <c r="E72" s="797">
        <v>2650000</v>
      </c>
      <c r="F72" s="796"/>
      <c r="G72" s="797">
        <v>2650000</v>
      </c>
      <c r="H72" s="796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13.2">
      <c r="A73" s="795" t="s">
        <v>1722</v>
      </c>
      <c r="B73" s="795" t="s">
        <v>1723</v>
      </c>
      <c r="C73" s="796"/>
      <c r="D73" s="796"/>
      <c r="E73" s="797">
        <v>64255977</v>
      </c>
      <c r="F73" s="796"/>
      <c r="G73" s="797">
        <v>64255977</v>
      </c>
      <c r="H73" s="796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13.2">
      <c r="A74" s="795" t="s">
        <v>1724</v>
      </c>
      <c r="B74" s="795" t="s">
        <v>1745</v>
      </c>
      <c r="C74" s="796"/>
      <c r="D74" s="796"/>
      <c r="E74" s="797">
        <v>7144626</v>
      </c>
      <c r="F74" s="796">
        <v>18260</v>
      </c>
      <c r="G74" s="797">
        <v>7126366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6250</v>
      </c>
      <c r="F75" s="796"/>
      <c r="G75" s="797">
        <v>6250</v>
      </c>
      <c r="H75" s="796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13.2">
      <c r="A76" s="795" t="s">
        <v>1726</v>
      </c>
      <c r="B76" s="795" t="s">
        <v>1752</v>
      </c>
      <c r="C76" s="796"/>
      <c r="D76" s="796"/>
      <c r="E76" s="797">
        <v>105380200</v>
      </c>
      <c r="F76" s="796"/>
      <c r="G76" s="797">
        <v>105380200</v>
      </c>
      <c r="H76" s="796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13.2">
      <c r="A77" s="795" t="s">
        <v>1729</v>
      </c>
      <c r="B77" s="795" t="s">
        <v>1755</v>
      </c>
      <c r="C77" s="796"/>
      <c r="D77" s="796"/>
      <c r="E77" s="797">
        <v>4558097</v>
      </c>
      <c r="F77" s="796"/>
      <c r="G77" s="797">
        <v>4558097</v>
      </c>
      <c r="H77" s="796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13.2">
      <c r="A78" s="795" t="s">
        <v>1732</v>
      </c>
      <c r="B78" s="795" t="s">
        <v>1733</v>
      </c>
      <c r="C78" s="796"/>
      <c r="D78" s="796"/>
      <c r="E78" s="797">
        <v>2204267</v>
      </c>
      <c r="F78" s="796"/>
      <c r="G78" s="797">
        <v>2204267</v>
      </c>
      <c r="H78" s="796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927000</v>
      </c>
      <c r="F79" s="796"/>
      <c r="G79" s="797">
        <v>927000</v>
      </c>
      <c r="H79" s="796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13.2">
      <c r="A80" s="795" t="s">
        <v>1735</v>
      </c>
      <c r="B80" s="795" t="s">
        <v>1764</v>
      </c>
      <c r="C80" s="796"/>
      <c r="D80" s="796"/>
      <c r="E80" s="797">
        <v>3318750</v>
      </c>
      <c r="F80" s="796"/>
      <c r="G80" s="797">
        <v>3318750</v>
      </c>
      <c r="H80" s="796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13.2">
      <c r="A81" s="795" t="s">
        <v>1739</v>
      </c>
      <c r="B81" s="795" t="s">
        <v>1767</v>
      </c>
      <c r="C81" s="796"/>
      <c r="D81" s="796"/>
      <c r="E81" s="797">
        <v>42893270</v>
      </c>
      <c r="F81" s="796"/>
      <c r="G81" s="797">
        <v>42893270</v>
      </c>
      <c r="H81" s="796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13.2">
      <c r="A82" s="795" t="s">
        <v>1741</v>
      </c>
      <c r="B82" s="795" t="s">
        <v>1770</v>
      </c>
      <c r="C82" s="796"/>
      <c r="D82" s="796"/>
      <c r="E82" s="797">
        <v>98835743</v>
      </c>
      <c r="F82" s="796"/>
      <c r="G82" s="797">
        <v>98835743</v>
      </c>
      <c r="H82" s="796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14167145</v>
      </c>
      <c r="F83" s="796"/>
      <c r="G83" s="797">
        <v>14167145</v>
      </c>
      <c r="H83" s="796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13.2">
      <c r="A84" s="795" t="s">
        <v>1743</v>
      </c>
      <c r="B84" s="795" t="s">
        <v>1744</v>
      </c>
      <c r="C84" s="796"/>
      <c r="D84" s="796"/>
      <c r="E84" s="797">
        <v>23569013</v>
      </c>
      <c r="F84" s="796"/>
      <c r="G84" s="797">
        <v>23569013</v>
      </c>
      <c r="H84" s="796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13.2">
      <c r="A85" s="795" t="s">
        <v>1746</v>
      </c>
      <c r="B85" s="795" t="s">
        <v>1779</v>
      </c>
      <c r="C85" s="796"/>
      <c r="D85" s="796"/>
      <c r="E85" s="797">
        <v>231250</v>
      </c>
      <c r="F85" s="796"/>
      <c r="G85" s="797">
        <v>231250</v>
      </c>
      <c r="H85" s="796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13.2">
      <c r="A86" s="795" t="s">
        <v>1750</v>
      </c>
      <c r="B86" s="795" t="s">
        <v>1751</v>
      </c>
      <c r="C86" s="796"/>
      <c r="D86" s="796"/>
      <c r="E86" s="797">
        <v>88988546</v>
      </c>
      <c r="F86" s="796"/>
      <c r="G86" s="797">
        <v>88988546</v>
      </c>
      <c r="H86" s="796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13.2">
      <c r="A87" s="795" t="s">
        <v>1783</v>
      </c>
      <c r="B87" s="795" t="s">
        <v>1784</v>
      </c>
      <c r="C87" s="796"/>
      <c r="D87" s="796"/>
      <c r="E87" s="797">
        <v>1502637</v>
      </c>
      <c r="F87" s="796"/>
      <c r="G87" s="797">
        <v>1502637</v>
      </c>
      <c r="H87" s="796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13.2">
      <c r="A88" s="795" t="s">
        <v>1753</v>
      </c>
      <c r="B88" s="795" t="s">
        <v>1754</v>
      </c>
      <c r="C88" s="796"/>
      <c r="D88" s="796"/>
      <c r="E88" s="797">
        <v>113999246</v>
      </c>
      <c r="F88" s="796"/>
      <c r="G88" s="797">
        <v>113999246</v>
      </c>
      <c r="H88" s="796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13.2">
      <c r="A89" s="795" t="s">
        <v>1756</v>
      </c>
      <c r="B89" s="795" t="s">
        <v>1757</v>
      </c>
      <c r="C89" s="796"/>
      <c r="D89" s="796"/>
      <c r="E89" s="797">
        <v>1369031</v>
      </c>
      <c r="F89" s="797"/>
      <c r="G89" s="797">
        <v>1369031</v>
      </c>
      <c r="H89" s="796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13.2">
      <c r="A90" s="795" t="s">
        <v>1758</v>
      </c>
      <c r="B90" s="795" t="s">
        <v>1791</v>
      </c>
      <c r="C90" s="796"/>
      <c r="D90" s="796"/>
      <c r="E90" s="797">
        <v>2318412</v>
      </c>
      <c r="F90" s="797"/>
      <c r="G90" s="797">
        <v>2318412</v>
      </c>
      <c r="H90" s="796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13.2">
      <c r="A91" s="795" t="s">
        <v>1762</v>
      </c>
      <c r="B91" s="795" t="s">
        <v>1763</v>
      </c>
      <c r="C91" s="796"/>
      <c r="D91" s="796"/>
      <c r="E91" s="797">
        <v>843052</v>
      </c>
      <c r="F91" s="796"/>
      <c r="G91" s="797">
        <v>843052</v>
      </c>
      <c r="H91" s="796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13.2">
      <c r="A92" s="795" t="s">
        <v>1765</v>
      </c>
      <c r="B92" s="795" t="s">
        <v>1796</v>
      </c>
      <c r="C92" s="796"/>
      <c r="D92" s="796"/>
      <c r="E92" s="797">
        <v>10683574</v>
      </c>
      <c r="F92" s="796"/>
      <c r="G92" s="797">
        <v>10683574</v>
      </c>
      <c r="H92" s="796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1080000</v>
      </c>
      <c r="F93" s="796"/>
      <c r="G93" s="797">
        <v>1080000</v>
      </c>
      <c r="H93" s="796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13.2">
      <c r="A94" s="795" t="s">
        <v>1771</v>
      </c>
      <c r="B94" s="795" t="s">
        <v>1803</v>
      </c>
      <c r="C94" s="796"/>
      <c r="D94" s="796"/>
      <c r="E94" s="797">
        <v>250000</v>
      </c>
      <c r="F94" s="796"/>
      <c r="G94" s="797">
        <v>250000</v>
      </c>
      <c r="H94" s="796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13.2">
      <c r="A95" s="795" t="s">
        <v>1775</v>
      </c>
      <c r="B95" s="795" t="s">
        <v>1806</v>
      </c>
      <c r="C95" s="796"/>
      <c r="D95" s="796"/>
      <c r="E95" s="797">
        <v>1689000</v>
      </c>
      <c r="F95" s="796"/>
      <c r="G95" s="797">
        <v>1689000</v>
      </c>
      <c r="H95" s="796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300000</v>
      </c>
      <c r="F96" s="796"/>
      <c r="G96" s="797">
        <v>300000</v>
      </c>
      <c r="H96" s="796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13.2">
      <c r="A97" s="795" t="s">
        <v>1777</v>
      </c>
      <c r="B97" s="795" t="s">
        <v>1813</v>
      </c>
      <c r="C97" s="796"/>
      <c r="D97" s="796"/>
      <c r="E97" s="797">
        <v>205000</v>
      </c>
      <c r="F97" s="796"/>
      <c r="G97" s="797">
        <v>205000</v>
      </c>
      <c r="H97" s="796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13.2">
      <c r="A98" s="795" t="s">
        <v>1785</v>
      </c>
      <c r="B98" s="795" t="s">
        <v>1816</v>
      </c>
      <c r="C98" s="796"/>
      <c r="D98" s="796"/>
      <c r="E98" s="797">
        <v>5957410</v>
      </c>
      <c r="F98" s="796"/>
      <c r="G98" s="797">
        <v>5957410</v>
      </c>
      <c r="H98" s="796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13.2">
      <c r="A99" s="795" t="s">
        <v>1787</v>
      </c>
      <c r="B99" s="795" t="s">
        <v>1788</v>
      </c>
      <c r="C99" s="796"/>
      <c r="D99" s="796"/>
      <c r="E99" s="797">
        <v>3618855</v>
      </c>
      <c r="F99" s="796"/>
      <c r="G99" s="797">
        <v>3618855</v>
      </c>
      <c r="H99" s="796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7937445</v>
      </c>
      <c r="F100" s="796">
        <v>17500</v>
      </c>
      <c r="G100" s="797">
        <v>7919945</v>
      </c>
      <c r="H100" s="796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13.2">
      <c r="A101" s="795" t="s">
        <v>1789</v>
      </c>
      <c r="B101" s="795" t="s">
        <v>1825</v>
      </c>
      <c r="C101" s="796"/>
      <c r="D101" s="796"/>
      <c r="E101" s="797">
        <v>31802000</v>
      </c>
      <c r="F101" s="796"/>
      <c r="G101" s="797">
        <v>31802000</v>
      </c>
      <c r="H101" s="796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13.2">
      <c r="A102" s="795" t="s">
        <v>1792</v>
      </c>
      <c r="B102" s="795" t="s">
        <v>1793</v>
      </c>
      <c r="C102" s="796"/>
      <c r="D102" s="796"/>
      <c r="E102" s="797">
        <v>11855000</v>
      </c>
      <c r="F102" s="796"/>
      <c r="G102" s="797">
        <v>11855000</v>
      </c>
      <c r="H102" s="796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6131709</v>
      </c>
      <c r="F103" s="796"/>
      <c r="G103" s="797">
        <v>6131709</v>
      </c>
      <c r="H103" s="796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13.2">
      <c r="A104" s="795" t="s">
        <v>1794</v>
      </c>
      <c r="B104" s="795" t="s">
        <v>1834</v>
      </c>
      <c r="C104" s="796"/>
      <c r="D104" s="796"/>
      <c r="E104" s="797">
        <v>592324</v>
      </c>
      <c r="F104" s="796"/>
      <c r="G104" s="797">
        <v>592324</v>
      </c>
      <c r="H104" s="796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13.2">
      <c r="A105" s="795" t="s">
        <v>1836</v>
      </c>
      <c r="B105" s="795" t="s">
        <v>1795</v>
      </c>
      <c r="C105" s="796"/>
      <c r="D105" s="796"/>
      <c r="E105" s="797">
        <v>13573904</v>
      </c>
      <c r="F105" s="796"/>
      <c r="G105" s="797">
        <v>13573904</v>
      </c>
      <c r="H105" s="796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13.2">
      <c r="A106" s="795" t="s">
        <v>1797</v>
      </c>
      <c r="B106" s="795" t="s">
        <v>1799</v>
      </c>
      <c r="C106" s="796"/>
      <c r="D106" s="796"/>
      <c r="E106" s="797">
        <v>63617713</v>
      </c>
      <c r="F106" s="796"/>
      <c r="G106" s="797">
        <v>63617713</v>
      </c>
      <c r="H106" s="796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13.2">
      <c r="A107" s="795" t="s">
        <v>1801</v>
      </c>
      <c r="B107" s="795" t="s">
        <v>1802</v>
      </c>
      <c r="C107" s="796"/>
      <c r="D107" s="796"/>
      <c r="E107" s="797">
        <v>757456</v>
      </c>
      <c r="F107" s="796"/>
      <c r="G107" s="797">
        <v>757456</v>
      </c>
      <c r="H107" s="796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34002988</v>
      </c>
      <c r="F108" s="796"/>
      <c r="G108" s="797">
        <v>34002988</v>
      </c>
      <c r="H108" s="796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1275000</v>
      </c>
      <c r="F109" s="796"/>
      <c r="G109" s="797">
        <v>1275000</v>
      </c>
      <c r="H109" s="796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425000</v>
      </c>
      <c r="F110" s="796"/>
      <c r="G110" s="797">
        <v>425000</v>
      </c>
      <c r="H110" s="796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13.2">
      <c r="A111" s="795" t="s">
        <v>1814</v>
      </c>
      <c r="B111" s="795" t="s">
        <v>1856</v>
      </c>
      <c r="C111" s="796"/>
      <c r="D111" s="796"/>
      <c r="E111" s="796">
        <v>193651042</v>
      </c>
      <c r="F111" s="797"/>
      <c r="G111" s="796">
        <v>193651042</v>
      </c>
      <c r="H111" s="797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13.2">
      <c r="A112" s="795" t="s">
        <v>1817</v>
      </c>
      <c r="B112" s="795" t="s">
        <v>1818</v>
      </c>
      <c r="C112" s="796"/>
      <c r="D112" s="796"/>
      <c r="E112" s="797">
        <v>2117350</v>
      </c>
      <c r="F112" s="796"/>
      <c r="G112" s="797">
        <v>2117350</v>
      </c>
      <c r="H112" s="796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13.2">
      <c r="A113" s="795" t="s">
        <v>1859</v>
      </c>
      <c r="B113" s="795" t="s">
        <v>1860</v>
      </c>
      <c r="C113" s="799"/>
      <c r="D113" s="799"/>
      <c r="E113" s="800">
        <v>2211400</v>
      </c>
      <c r="F113" s="799"/>
      <c r="G113" s="800">
        <v>2211400</v>
      </c>
      <c r="H113" s="799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13.2">
      <c r="A114" s="795" t="s">
        <v>1819</v>
      </c>
      <c r="B114" s="795" t="s">
        <v>1861</v>
      </c>
      <c r="C114" s="799"/>
      <c r="D114" s="799"/>
      <c r="E114" s="800">
        <v>417494</v>
      </c>
      <c r="F114" s="799"/>
      <c r="G114" s="800">
        <v>417494</v>
      </c>
      <c r="H114" s="799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13.2">
      <c r="A115" s="795" t="s">
        <v>1862</v>
      </c>
      <c r="B115" s="795" t="s">
        <v>1863</v>
      </c>
      <c r="C115" s="799"/>
      <c r="D115" s="799"/>
      <c r="E115" s="800">
        <v>4300</v>
      </c>
      <c r="F115" s="799"/>
      <c r="G115" s="800">
        <v>4300</v>
      </c>
      <c r="H115" s="799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13.2">
      <c r="A116" s="795" t="s">
        <v>1864</v>
      </c>
      <c r="B116" s="795" t="s">
        <v>1865</v>
      </c>
      <c r="C116" s="799"/>
      <c r="D116" s="799"/>
      <c r="E116" s="800">
        <v>10000</v>
      </c>
      <c r="F116" s="799"/>
      <c r="G116" s="800">
        <v>10000</v>
      </c>
      <c r="H116" s="799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13.2">
      <c r="A117" s="795" t="s">
        <v>1866</v>
      </c>
      <c r="B117" s="795" t="s">
        <v>1867</v>
      </c>
      <c r="C117" s="799"/>
      <c r="D117" s="799"/>
      <c r="E117" s="800">
        <v>1527</v>
      </c>
      <c r="F117" s="799">
        <v>1527</v>
      </c>
      <c r="G117" s="800"/>
      <c r="H117" s="799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13.2">
      <c r="A118" s="795" t="s">
        <v>1823</v>
      </c>
      <c r="B118" s="795" t="s">
        <v>1824</v>
      </c>
      <c r="C118" s="799"/>
      <c r="D118" s="799"/>
      <c r="E118" s="800">
        <v>510000</v>
      </c>
      <c r="F118" s="799"/>
      <c r="G118" s="800">
        <v>510000</v>
      </c>
      <c r="H118" s="799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13.2">
      <c r="A119" s="795" t="s">
        <v>1868</v>
      </c>
      <c r="B119" s="795" t="s">
        <v>1869</v>
      </c>
      <c r="C119" s="799"/>
      <c r="D119" s="799"/>
      <c r="E119" s="800">
        <v>6128784</v>
      </c>
      <c r="F119" s="799"/>
      <c r="G119" s="800">
        <v>6128784</v>
      </c>
      <c r="H119" s="799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13.2">
      <c r="A120" s="795" t="s">
        <v>1826</v>
      </c>
      <c r="B120" s="795" t="s">
        <v>1870</v>
      </c>
      <c r="C120" s="799"/>
      <c r="D120" s="799"/>
      <c r="E120" s="800">
        <v>50560640</v>
      </c>
      <c r="F120" s="800"/>
      <c r="G120" s="800">
        <v>50560640</v>
      </c>
      <c r="H120" s="799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13.2">
      <c r="A121" s="791" t="s">
        <v>1828</v>
      </c>
      <c r="B121" s="791" t="s">
        <v>1830</v>
      </c>
      <c r="C121" s="791"/>
      <c r="D121" s="791"/>
      <c r="E121" s="791">
        <v>8216000</v>
      </c>
      <c r="F121" s="791"/>
      <c r="G121" s="791">
        <v>8216000</v>
      </c>
      <c r="H121" s="791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13.2">
      <c r="A122" s="795" t="s">
        <v>1835</v>
      </c>
      <c r="B122" s="795" t="s">
        <v>1837</v>
      </c>
      <c r="C122" s="799"/>
      <c r="D122" s="799"/>
      <c r="E122" s="800">
        <v>3731348</v>
      </c>
      <c r="F122" s="799"/>
      <c r="G122" s="800">
        <v>3731348</v>
      </c>
      <c r="H122" s="799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13.2">
      <c r="A123" s="795" t="s">
        <v>1871</v>
      </c>
      <c r="B123" s="795" t="s">
        <v>1872</v>
      </c>
      <c r="C123" s="799"/>
      <c r="D123" s="799"/>
      <c r="E123" s="800">
        <v>109000</v>
      </c>
      <c r="F123" s="799"/>
      <c r="G123" s="800">
        <v>109000</v>
      </c>
      <c r="H123" s="799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13.2">
      <c r="A124" s="795" t="s">
        <v>1873</v>
      </c>
      <c r="B124" s="795" t="s">
        <v>1874</v>
      </c>
      <c r="C124" s="799"/>
      <c r="D124" s="799"/>
      <c r="E124" s="800">
        <v>1611184</v>
      </c>
      <c r="F124" s="799"/>
      <c r="G124" s="800">
        <v>1611184</v>
      </c>
      <c r="H124" s="799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13.2">
      <c r="A125" s="795" t="s">
        <v>1842</v>
      </c>
      <c r="B125" s="795" t="s">
        <v>1875</v>
      </c>
      <c r="C125" s="799"/>
      <c r="D125" s="799"/>
      <c r="E125" s="800">
        <v>11856444</v>
      </c>
      <c r="F125" s="799"/>
      <c r="G125" s="800">
        <v>11856444</v>
      </c>
      <c r="H125" s="799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13.2">
      <c r="A126" s="795" t="s">
        <v>1846</v>
      </c>
      <c r="B126" s="795" t="s">
        <v>1876</v>
      </c>
      <c r="C126" s="799"/>
      <c r="D126" s="799"/>
      <c r="E126" s="800">
        <v>150171</v>
      </c>
      <c r="F126" s="799"/>
      <c r="G126" s="800">
        <v>150171</v>
      </c>
      <c r="H126" s="799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13.2">
      <c r="A127" s="795" t="s">
        <v>1850</v>
      </c>
      <c r="B127" s="795" t="s">
        <v>1877</v>
      </c>
      <c r="C127" s="799"/>
      <c r="D127" s="799"/>
      <c r="E127" s="800">
        <v>122873921</v>
      </c>
      <c r="F127" s="799"/>
      <c r="G127" s="800">
        <v>122873921</v>
      </c>
      <c r="H127" s="799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13.2">
      <c r="A128" s="791" t="s">
        <v>1854</v>
      </c>
      <c r="B128" s="791" t="s">
        <v>1878</v>
      </c>
      <c r="C128" s="791"/>
      <c r="D128" s="791"/>
      <c r="E128" s="791"/>
      <c r="F128" s="791">
        <v>6.032644508E9</v>
      </c>
      <c r="G128" s="791"/>
      <c r="H128" s="791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13.2">
      <c r="A129" s="795" t="s">
        <v>1857</v>
      </c>
      <c r="B129" s="795" t="s">
        <v>1879</v>
      </c>
      <c r="C129" s="799"/>
      <c r="D129" s="799"/>
      <c r="E129" s="800">
        <v>17126791</v>
      </c>
      <c r="F129" s="799"/>
      <c r="G129" s="800">
        <v>17126791</v>
      </c>
      <c r="H129" s="799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5.294648115E9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5.294648115E9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200000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2.269201127E9</v>
      </c>
      <c r="E13" s="575">
        <f>SUM(E14:E19)</f>
        <v>8.33237141E8</v>
      </c>
      <c r="F13" s="575">
        <f>SUM(F14:F19)</f>
        <v>1.435963986E9</v>
      </c>
      <c r="G13" s="575">
        <f>SUM(G14:G19)</f>
        <v>1.416348561E9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1.18365583E8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1.47669E8</v>
      </c>
      <c r="E14" s="16">
        <f>+SUMIF('BAL N'!J:J,"=282",'BAL N'!H:H)+SUMIF('BAL N'!J:J,"=292",'BAL N'!H:H)</f>
        <v>79950</v>
      </c>
      <c r="F14" s="17">
        <f t="shared" si="0" ref="F14:F19">+D14-E14</f>
        <v>1.4758905E8</v>
      </c>
      <c r="G14" s="15">
        <f>+SUMIF('BAL N'!I:I,"=22",'BAL N'!C:C)-(SUMIF('BAL N'!J:J,"=282",'BAL N'!D:D)+SUMIF('BAL N'!J:J,"=292",'BAL N'!D:D))</f>
        <v>5.6669E7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8.92752843E8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2.62184384E8</v>
      </c>
      <c r="F15" s="17">
        <f t="shared" si="0"/>
        <v>8.39486442E8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8.94569983E8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8.7524556E7</v>
      </c>
      <c r="L15" s="13">
        <f>-SUMIF('BAL N'!J:J,"=131",'BAL N'!C:C)+SUMIF('BAL N'!J:J,"=131",'BAL N'!D:D)</f>
        <v>0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5.00771393E8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1.94115907E8</v>
      </c>
      <c r="F16" s="17">
        <f t="shared" si="0"/>
        <v>3.06655486E8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2.75817542E8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4.53821027E8</v>
      </c>
      <c r="E17" s="14">
        <f>+SUMIF('BAL N'!J:J,"=284",'BAL N'!H:H)-SUMIF('BAL N'!K:K,"=2845",'BAL N'!H:H)+SUMIF('BAL N'!J:J,"=294",'BAL N'!H:H)-SUMIF('BAL N'!K:K,"=2945",'BAL N'!H:H)-SUMIF('BAL N'!K:K,"=2949",'BAL N'!H:H)</f>
        <v>3.1843376E8</v>
      </c>
      <c r="F17" s="17">
        <f t="shared" si="0"/>
        <v>1.35387267E8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1.70152519E8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6.5268881E7</v>
      </c>
      <c r="E18" s="14">
        <f>+SUMIF('BAL N'!K:K,"=2845",'BAL N'!H:H)+SUMIF('BAL N'!K:K,"=2849",'BAL N'!H:H)+SUMIF('BAL N'!K:K,"=2945",'BAL N'!H:H)</f>
        <v>5.842314E7</v>
      </c>
      <c r="F18" s="17">
        <f t="shared" si="0"/>
        <v>6845741</v>
      </c>
      <c r="G18" s="13">
        <f>+SUMIF('BAL N'!J:J,"=245",'BAL N'!C:C)+SUMIF('BAL N'!K:K,"=2495",'BAL N'!C:C)-(+SUMIF('BAL N'!K:K,"=2845",'BAL N'!D:D)+SUMIF('BAL N'!K:K,"=2849",'BAL N'!D:D)+SUMIF('BAL N'!K:K,"=2945",'BAL N'!D:D))</f>
        <v>1.9139517E7</v>
      </c>
      <c r="H18" s="28" t="s">
        <v>258</v>
      </c>
      <c r="I18" s="29" t="s">
        <v>259</v>
      </c>
      <c r="J18" s="30"/>
      <c r="K18" s="31">
        <f>SUM(K8:K17)</f>
        <v>3.51090139E8</v>
      </c>
      <c r="L18" s="31">
        <f>SUM(L8:L17)</f>
        <v>1.156318426E9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1.218048E7</v>
      </c>
      <c r="E20" s="578">
        <f>SUM(E21:E22)</f>
        <v>0</v>
      </c>
      <c r="F20" s="578">
        <f>SUM(F21:F22)</f>
        <v>1.218048E7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1.218048E7</v>
      </c>
      <c r="E22" s="14">
        <f>+SUMIF('BAL N'!J:J,"=297",'BAL N'!H:H)</f>
        <v>0</v>
      </c>
      <c r="F22" s="18">
        <f>+D22-E22</f>
        <v>1.218048E7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2.281381607E9</v>
      </c>
      <c r="E23" s="579">
        <f>+E20+E13+E8</f>
        <v>8.33237141E8</v>
      </c>
      <c r="F23" s="579">
        <f>+F20+F13+F8</f>
        <v>1.448144466E9</v>
      </c>
      <c r="G23" s="579">
        <f>+G20+G13+G8</f>
        <v>1.428529041E9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3.65270359E8</v>
      </c>
      <c r="E25" s="14">
        <f>+SUMIF('BAL N'!I:I,"=39",'BAL N'!H:H)</f>
        <v>0</v>
      </c>
      <c r="F25" s="18">
        <f t="shared" si="1"/>
        <v>3.65270359E8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4.33749204E8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3.4387691773E10</v>
      </c>
      <c r="L25" s="13">
        <f>+SUMIF('BAL N'!J:J,"=419",'BAL N'!D:D)</f>
        <v>2.9055421827E10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3938800</v>
      </c>
      <c r="L26" s="13">
        <f>+SUMIF('BAL N'!J:J,"=401",'BAL N'!D:D)+SUMIF('BAL N'!J:J,"=402",'BAL N'!D:D)+SUMIF('BAL N'!J:J,"=408",'BAL N'!D:D)-SUMIF('BAL N'!J:J,"=401",'BAL N'!C:C)</f>
        <v>1.20045E7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1.3083703E8</v>
      </c>
      <c r="E27" s="14">
        <f>+SUMIF('BAL N'!J:J,"=490",'BAL N'!H:H)</f>
        <v>0</v>
      </c>
      <c r="F27" s="18">
        <f t="shared" si="1"/>
        <v>1.3083703E8</v>
      </c>
      <c r="G27" s="13">
        <f>+SUMIF('BAL N'!I:I,"=40",'BAL N'!C:C)-SUMIF('BAL N'!J:J,"=490",'BAL N'!D:D)-SUMIF('BAL N'!J:J,"409",'BAL N'!D:D)</f>
        <v>7.010266011E9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2.1104751E7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2.7035439E7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3.349690664E10</v>
      </c>
      <c r="E28" s="14">
        <f>+SUMIF('BAL N'!J:J,"=491",'BAL N'!H:H)</f>
        <v>0</v>
      </c>
      <c r="F28" s="18">
        <f t="shared" si="1"/>
        <v>3.349690664E10</v>
      </c>
      <c r="G28" s="13">
        <f>+SUMIF('BAL N'!I:I,"=41",'BAL N'!C:C)-SUMIF('BAL N'!J:J,"=491",'BAL N'!D:D)-SUMIF('BAL N'!J:J,"=411",'BAL N'!D:D)</f>
        <v>2.8202318525E10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2.4841088E7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2.4841088E7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3.6121455E7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3.4017855117E10</v>
      </c>
      <c r="E30" s="579">
        <f>SUM(E24:E29)</f>
        <v>0</v>
      </c>
      <c r="F30" s="579">
        <f>SUM(F24:F29)</f>
        <v>3.4017855117E10</v>
      </c>
      <c r="G30" s="579">
        <f>SUM(G24:G29)</f>
        <v>3.5682455195E10</v>
      </c>
      <c r="H30" s="34" t="s">
        <v>304</v>
      </c>
      <c r="I30" s="35" t="s">
        <v>305</v>
      </c>
      <c r="J30" s="36"/>
      <c r="K30" s="37">
        <f>SUM(K24:K29)</f>
        <v>3.4443109491E10</v>
      </c>
      <c r="L30" s="37">
        <f>SUM(L24:L29)</f>
        <v>2.9124835933E10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2.2095289E8</v>
      </c>
      <c r="E33" s="14">
        <f>+SUMIF('BAL N'!J:J,"=592",'BAL N'!H:H)+SUMIF('BAL N'!J:J,"=593",'BAL N'!H:H)+SUMIF('BAL N'!J:J,"=594",'BAL N'!H:H)</f>
        <v>0</v>
      </c>
      <c r="F33" s="18">
        <f>+D33-E33</f>
        <v>2.2095289E8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9.2418291E7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2.2095289E8</v>
      </c>
      <c r="E34" s="579">
        <f>SUM(E31:E33)</f>
        <v>0</v>
      </c>
      <c r="F34" s="579">
        <f>SUM(F31:F33)</f>
        <v>2.2095289E8</v>
      </c>
      <c r="G34" s="579">
        <f>SUM(G31:G33)</f>
        <v>9.2418291E7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3.6520189614E10</v>
      </c>
      <c r="E36" s="579">
        <f>+E34+E30+E23</f>
        <v>8.33237141E8</v>
      </c>
      <c r="F36" s="579">
        <f>+F34+F30+F23</f>
        <v>3.5686952473E10</v>
      </c>
      <c r="G36" s="579">
        <f>+G34+G30+G23</f>
        <v>3.7203402527E10</v>
      </c>
      <c r="H36" s="34" t="s">
        <v>325</v>
      </c>
      <c r="I36" s="35" t="s">
        <v>324</v>
      </c>
      <c r="J36" s="36"/>
      <c r="K36" s="37">
        <f>+K34+K30+K22+K18</f>
        <v>3.479419963E10</v>
      </c>
      <c r="L36" s="37">
        <f>+L34+L30+L22+L18</f>
        <v>3.0281154359E10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5.294648115E9</v>
      </c>
      <c r="F10" s="37">
        <f>+F14-F8-F9</f>
        <v>6.032644508E9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5.294648115E9</v>
      </c>
      <c r="F11" s="51">
        <f>+SUMIF('BAL N-1'!J:J,"=702",'BAL N-1'!H:H)+SUMIF('BAL N-1'!J:J,"=703",'BAL N-1'!H:H)+SUMIF('BAL N-1'!J:J,"=704",'BAL N-1'!H:H)</f>
        <v>6.032644508E9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5.294648115E9</v>
      </c>
      <c r="F14" s="37">
        <f>+F7+F13+F12+F11</f>
        <v>6.032644508E9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4.195693297E9</v>
      </c>
      <c r="F20" s="51">
        <f>+SUMIF('BAL N-1'!J:J,"=602",'BAL N-1'!G:G)</f>
        <v>4.805921959E9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6.8478845E7</v>
      </c>
      <c r="F21" s="51">
        <f>-SUMIF('BAL N-1'!K:K,"=6032",'BAL N-1'!H:H)+SUMIF('BAL N-1'!K:K,"=6032",'BAL N-1'!G:G)-SUMIF('BAL N-1'!K:K,"=6034",'BAL N-1'!H:H)+SUMIF('BAL N-1'!K:K,"=6034",'BAL N-1'!G:G)</f>
        <v>-6.6625516E7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2.39426821E8</v>
      </c>
      <c r="F22" s="51">
        <f>+SUMIF('BAL N-1'!J:J,"=604",'BAL N-1'!G:G)+SUMIF('BAL N-1'!J:J,"=605",'BAL N-1'!G:G)+SUMIF('BAL N-1'!J:J,"=608",'BAL N-1'!G:G)+SUMIF('BAL N-1'!J:J,"=606",'BAL N-1'!G:G)</f>
        <v>4.59241124E8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1.08008609E8</v>
      </c>
      <c r="F24" s="51">
        <f>+SUMIF('BAL N-1'!I:I,"=61",'BAL N-1'!G:G)</f>
        <v>1.30715952E8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2.81499882E8</v>
      </c>
      <c r="F25" s="51">
        <f>+SUMIF('BAL N-1'!I:I,"=62",'BAL N-1'!G:G)+SUMIF('BAL N-1'!I:I,"=63",'BAL N-1'!G:G)</f>
        <v>3.83033096E8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5166230</v>
      </c>
      <c r="F26" s="51">
        <f>+SUMIF('BAL N-1'!I:I,"=64",'BAL N-1'!G:G)</f>
        <v>431794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2100000</v>
      </c>
      <c r="F27" s="51">
        <f>+SUMIF('BAL N-1'!I:I,"=65",'BAL N-1'!G:G)</f>
        <v>6638784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3.94274431E8</v>
      </c>
      <c r="F28" s="37">
        <f>+F10+F15+F16+F17+F18+F19-F20-F21-F22-F23-F24-F25-F26-F27</f>
        <v>3.13287315E8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1.2377655E8</v>
      </c>
      <c r="F29" s="51">
        <f>+SUMIF('BAL N-1'!I:I,"=66",'BAL N-1'!G:G)</f>
        <v>7.6234787E7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2.70497881E8</v>
      </c>
      <c r="F30" s="37">
        <f>+F28-F29</f>
        <v>2.37052528E8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1.67527975E8</v>
      </c>
      <c r="F32" s="609">
        <f>+SUMIF('BAL N-1'!J:J,"=681",'BAL N-1'!G:G)+SUMIF('BAL N-1'!J:J,"=691",'BAL N-1'!G:G)</f>
        <v>1.22873921E8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1.02969906E8</v>
      </c>
      <c r="F33" s="37">
        <f>+F30+F31-F32</f>
        <v>1.14178607E8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1.02969906E8</v>
      </c>
      <c r="F40" s="31">
        <f>+F33+F39</f>
        <v>1.14178607E8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1.544535E7</v>
      </c>
      <c r="F47" s="51">
        <f>+SUMIF('BAL N-1'!I:I,"=89",'BAL N-1'!G:G)</f>
        <v>1.7126791E7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8.7524556E7</v>
      </c>
      <c r="F48" s="37">
        <f>+F40+F45-F46-F47</f>
        <v>9.7051816E7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2.2095289E8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2.55052531E8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-6.8478845E7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-1.596121233E9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5.318273558E9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7.237926167E9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7.05861271E8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0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-7.05861271E8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6.532064896E9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6.753017786E9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3938800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3.4387691773E10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0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2351330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1.8753421E7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3.4443109491E10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3.4443109491E10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1.47669E8</v>
      </c>
      <c r="C16" s="811"/>
      <c r="D16" s="811"/>
      <c r="E16" s="811"/>
      <c r="F16" s="811"/>
      <c r="G16" s="811"/>
      <c r="H16" s="811">
        <f t="shared" si="0"/>
        <v>1.47669E8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1.602442219E9</v>
      </c>
      <c r="C18" s="816"/>
      <c r="D18" s="816"/>
      <c r="E18" s="816"/>
      <c r="F18" s="816"/>
      <c r="G18" s="816"/>
      <c r="H18" s="811">
        <f t="shared" si="0"/>
        <v>1.602442219E9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4.53821027E8</v>
      </c>
      <c r="C21" s="816"/>
      <c r="D21" s="816"/>
      <c r="E21" s="816"/>
      <c r="F21" s="816"/>
      <c r="G21" s="816"/>
      <c r="H21" s="811">
        <f t="shared" si="0"/>
        <v>4.53821027E8</v>
      </c>
    </row>
    <row r="22" spans="1:8" ht="13.8">
      <c r="A22" s="815" t="s">
        <v>257</v>
      </c>
      <c r="B22" s="816">
        <f>+SUMIF('BAL N'!J:J,"=245",'BAL N'!G:G)</f>
        <v>6.5268881E7</v>
      </c>
      <c r="C22" s="816"/>
      <c r="D22" s="816"/>
      <c r="E22" s="816"/>
      <c r="F22" s="816"/>
      <c r="G22" s="816"/>
      <c r="H22" s="811">
        <f t="shared" si="0"/>
        <v>6.5268881E7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1.218048E7</v>
      </c>
      <c r="C26" s="816"/>
      <c r="D26" s="816"/>
      <c r="E26" s="816"/>
      <c r="F26" s="816"/>
      <c r="G26" s="816"/>
      <c r="H26" s="811">
        <f t="shared" si="0"/>
        <v>1.218048E7</v>
      </c>
    </row>
    <row r="27" spans="1:8" ht="20.1" customHeight="1">
      <c r="A27" s="818" t="s">
        <v>324</v>
      </c>
      <c r="B27" s="819">
        <f t="shared" si="1" ref="B27:G27">SUM(B11:B26)</f>
        <v>2.711564211E9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2.711564211E9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1.47669E8</v>
      </c>
      <c r="C15" s="267">
        <f>+SUMIF('BAL N'!J:J,"=282",'BAL N'!F:F)-SUMIF('BAL N'!K:K,"=2828",'BAL N'!F:F)</f>
        <v>79950</v>
      </c>
      <c r="D15" s="267">
        <f>+SUMIF('BAL N'!J:J,"=282",'BAL N'!E:E)-SUMIF('BAL N'!K:K,"=2828",'BAL N'!E:E)</f>
        <v>0</v>
      </c>
      <c r="E15" s="153">
        <f t="shared" si="0"/>
        <v>1.4774895E8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3.70188122E8</v>
      </c>
      <c r="C17" s="267">
        <f>+SUMIF('BAL N'!J:J,"=283",'BAL N'!F:F)-SUMIF('BAL N'!L:L,"=28315",'BAL N'!F:F)-SUMIF('BAL N'!L:L,"=28325",'BAL N'!F:F)</f>
        <v>8.6112169E7</v>
      </c>
      <c r="D17" s="267">
        <f>+SUMIF('BAL N'!J:J,"=283",'BAL N'!E:E)-SUMIF('BAL N'!L:L,"=28315",'BAL N'!E:E)-SUMIF('BAL N'!L:L,"=28325",'BAL N'!E:E)</f>
        <v>0</v>
      </c>
      <c r="E17" s="153">
        <f t="shared" si="0"/>
        <v>4.56300291E8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1.51925111E8</v>
      </c>
      <c r="C19" s="267">
        <f>+SUMIF('BAL N'!K:K,"=2834",'BAL N'!F:F)+SUMIF('BAL N'!K:K,"=2835",'BAL N'!F:F)</f>
        <v>2.9329403E7</v>
      </c>
      <c r="D19" s="267">
        <f>+SUMIF('BAL N'!K:K,"=2834",'BAL N'!E:E)+SUMIF('BAL N'!K:K,"=2835",'BAL N'!E:E)</f>
        <v>0</v>
      </c>
      <c r="E19" s="153">
        <f t="shared" si="0"/>
        <v>1.81254514E8</v>
      </c>
    </row>
    <row r="20" spans="1:5" ht="13.8">
      <c r="A20" s="284" t="s">
        <v>253</v>
      </c>
      <c r="B20" s="267">
        <f>+SUMIF('BAL N'!J:J,"=284",'BAL N'!D:D)-SUMIF('BAL N'!K:K,"=2845",'BAL N'!D:D)</f>
        <v>2.4939168E8</v>
      </c>
      <c r="C20" s="267">
        <f>+SUMIF('BAL N'!J:J,"=284",'BAL N'!F:F)-SUMIF('BAL N'!K:K,"=2845",'BAL N'!F:F)</f>
        <v>6.904208E7</v>
      </c>
      <c r="D20" s="267">
        <f>+SUMIF('BAL N'!J:J,"=284",'BAL N'!E:E)-SUMIF('BAL N'!K:K,"=2845",'BAL N'!E:E)</f>
        <v>0</v>
      </c>
      <c r="E20" s="153">
        <f t="shared" si="0"/>
        <v>3.1843376E8</v>
      </c>
    </row>
    <row r="21" spans="1:5" ht="13.8">
      <c r="A21" s="284" t="s">
        <v>257</v>
      </c>
      <c r="B21" s="267">
        <f>+SUMIF('BAL N'!K:K,"=2845",'BAL N'!D:D)</f>
        <v>4.6129364E7</v>
      </c>
      <c r="C21" s="267">
        <f>+SUMIF('BAL N'!K:K,"=2845",'BAL N'!F:F)</f>
        <v>1.2293776E7</v>
      </c>
      <c r="D21" s="267">
        <f>+SUMIF('BAL N'!K:K,"=2845",'BAL N'!E:E)</f>
        <v>0</v>
      </c>
      <c r="E21" s="153">
        <f t="shared" si="0"/>
        <v>5.842314E7</v>
      </c>
    </row>
    <row r="22" spans="1:5" ht="13.8">
      <c r="A22" s="287" t="s">
        <v>541</v>
      </c>
      <c r="B22" s="612">
        <f>SUM(B15:B21)</f>
        <v>9.65303277E8</v>
      </c>
      <c r="C22" s="612">
        <f>SUM(C15:C21)</f>
        <v>1.96857378E8</v>
      </c>
      <c r="D22" s="612">
        <f>SUM(D15:D21)</f>
        <v>0</v>
      </c>
      <c r="E22" s="612">
        <f>+B22+C22-D22</f>
        <v>1.162160655E9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9.65303277E8</v>
      </c>
      <c r="C24" s="615">
        <f>SUM(C14,C22)</f>
        <v>1.96857378E8</v>
      </c>
      <c r="D24" s="615">
        <f>SUM(D14,D22)</f>
        <v>0</v>
      </c>
      <c r="E24" s="615">
        <f>SUM(B24:D24)</f>
        <v>1.162160655E9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0</v>
      </c>
      <c r="C11" s="153">
        <f>+SUMIF('BAL N'!I:I,"=272",'BAL N'!C:C)</f>
        <v>0</v>
      </c>
      <c r="D11" s="824">
        <f t="shared" si="0"/>
        <v>0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1.218048E7</v>
      </c>
      <c r="C16" s="612">
        <f>SUM(C9:C15)</f>
        <v>1.218048E7</v>
      </c>
      <c r="D16" s="825">
        <f t="shared" si="0"/>
        <v>0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3.65270359E8</v>
      </c>
      <c r="C9" s="619">
        <f>+SUMIF('BAL N'!I:I,"=32",'BAL N'!C:C)</f>
        <v>4.33749204E8</v>
      </c>
      <c r="D9" s="826">
        <f>IFERROR((B9-C9)/B9,0)</f>
        <v>-0.18747440987950517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3.65270359E8</v>
      </c>
      <c r="C16" s="688">
        <f>SUM(C8:C15)</f>
        <v>4.33749204E8</v>
      </c>
      <c r="D16" s="827">
        <f t="shared" si="0"/>
        <v>-0.18747440987950517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3.349690664E10</v>
      </c>
      <c r="C9" s="625">
        <f>+SUMIF('BAL N'!J:J,"=411",'BAL N'!C:C)-SUMIF('BAL N'!K:K,"=4116",'BAL N'!C:C)</f>
        <v>2.8210518525E10</v>
      </c>
      <c r="D9" s="623">
        <f>IFERROR((B9-C9)/B9,0)</f>
        <v>0.15781720299770344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3.349690664E10</v>
      </c>
      <c r="C17" s="613">
        <f>SUM(C9:C16)</f>
        <v>2.8210518525E10</v>
      </c>
      <c r="D17" s="692">
        <f t="shared" si="0"/>
        <v>0.15781720299770344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6.8775383546E10</v>
      </c>
      <c r="C20" s="267">
        <f>+SUMIF('BAL N'!K:K,"=4191",'BAL N'!D:D)</f>
        <v>2.9055421827E10</v>
      </c>
      <c r="D20" s="623">
        <f t="shared" si="0"/>
        <v>0.5775316642535849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6.8775383546E10</v>
      </c>
      <c r="C23" s="615">
        <f>SUM(C20:C22)</f>
        <v>2.9055421827E10</v>
      </c>
      <c r="D23" s="691">
        <f t="shared" si="0"/>
        <v>0.5775316642535849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1.8407185E7</v>
      </c>
      <c r="C9" s="267">
        <f>+SUMIF('BAL N'!J:J,"=421",'BAL N'!C:C)</f>
        <v>2.9887116E7</v>
      </c>
      <c r="D9" s="623">
        <f>IFERROR((B9-C9)/B9,0)</f>
        <v>-0.6236657587784336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0</v>
      </c>
      <c r="C10" s="267">
        <f>+SUMIF('BAL N'!I:I,"=43",'BAL N'!C:C)</f>
        <v>0</v>
      </c>
      <c r="D10" s="623">
        <f t="shared" si="0" ref="D10:D21">IFERROR((B10-C10)/B10,0)</f>
        <v>0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6433903</v>
      </c>
      <c r="C11" s="267">
        <f>+SUMIF('BAL N'!I:I,"=44",'BAL N'!C:C)</f>
        <v>6234339</v>
      </c>
      <c r="D11" s="623">
        <f t="shared" si="0"/>
        <v>0.0310175642996172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2.4841088E7</v>
      </c>
      <c r="C19" s="612">
        <f>SUM(C9:C18)</f>
        <v>3.6121455E7</v>
      </c>
      <c r="D19" s="692">
        <f t="shared" si="0"/>
        <v>-0.4541011649731284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2.4841088E7</v>
      </c>
      <c r="C21" s="612">
        <f>+C19-C20</f>
        <v>3.6121455E7</v>
      </c>
      <c r="D21" s="692">
        <f t="shared" si="0"/>
        <v>-0.4541011649731284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1.80980696E8</v>
      </c>
      <c r="C8" s="618">
        <f>+SUMIF('BAL N'!J:J,"=521",'BAL N'!C:C)</f>
        <v>8.9238509E7</v>
      </c>
      <c r="D8" s="621">
        <f>IFERROR((B8-C8)/B8,0)</f>
        <v>0.5069169752778495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3.9972194E7</v>
      </c>
      <c r="C17" s="272">
        <f>+SUMIF('BAL N'!J:J,"=571",'BAL N'!C:C)</f>
        <v>3179782</v>
      </c>
      <c r="D17" s="621">
        <f t="shared" si="0"/>
        <v>0.9204501509224137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2.2095289E8</v>
      </c>
      <c r="C20" s="620">
        <f>SUM(C8:C19)</f>
        <v>9.2418291E7</v>
      </c>
      <c r="D20" s="622">
        <f t="shared" si="0"/>
        <v>0.581728525931478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200000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0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1.18365583E8</v>
      </c>
      <c r="C20" s="1190"/>
      <c r="D20" s="1191">
        <f>+SUMIF('BAL N'!J:J,"=118",'BAL N'!D:D)</f>
        <v>1.18365583E8</v>
      </c>
      <c r="E20" s="1190"/>
      <c r="F20" s="1194">
        <f t="shared" si="1"/>
        <v>0</v>
      </c>
      <c r="G20" s="1195"/>
    </row>
    <row r="21" spans="1:7" ht="13.8">
      <c r="A21" s="287" t="s">
        <v>753</v>
      </c>
      <c r="B21" s="1192">
        <f>SUM(B15:C20)</f>
        <v>1.18565583E8</v>
      </c>
      <c r="C21" s="1193"/>
      <c r="D21" s="1192">
        <f>SUM(D15:E20)</f>
        <v>1.18565583E8</v>
      </c>
      <c r="E21" s="1193"/>
      <c r="F21" s="1192">
        <f t="shared" si="1"/>
        <v>0</v>
      </c>
      <c r="G21" s="1193"/>
    </row>
    <row r="22" spans="1:7" ht="13.8">
      <c r="A22" s="291" t="s">
        <v>242</v>
      </c>
      <c r="B22" s="1191">
        <f>+SUMIF('BAL N'!J:J,"=118",'BAL N'!H:H)</f>
        <v>1.18365583E8</v>
      </c>
      <c r="C22" s="1190"/>
      <c r="D22" s="1191">
        <f>+SUMIF('BAL N'!J:J,"=118",'BAL N'!D:D)</f>
        <v>1.18365583E8</v>
      </c>
      <c r="E22" s="1190"/>
      <c r="F22" s="1189">
        <f t="shared" si="1"/>
        <v>0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0</v>
      </c>
      <c r="C8" s="625">
        <f>+SUMIF('BAL N'!J:J,"=401",'BAL N'!D:D)-SUMIF('BAL N'!K:K,"=4012",'BAL N'!D:D)-SUMIF('BAL N'!J:J,"=401",'BAL N'!C:C)</f>
        <v>0</v>
      </c>
      <c r="D8" s="623">
        <f>IFERROR((B8-C8)/B8,0)</f>
        <v>0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3938800</v>
      </c>
      <c r="C11" s="267">
        <f>SUMIF('BAL N'!K:K,"=4081",'BAL N'!D:D)</f>
        <v>1.20045E7</v>
      </c>
      <c r="D11" s="623">
        <f t="shared" si="0"/>
        <v>-2.0477556616228294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3938800</v>
      </c>
      <c r="C13" s="612">
        <f>SUM(C8:C12)</f>
        <v>1.20045E7</v>
      </c>
      <c r="D13" s="692">
        <f t="shared" si="0"/>
        <v>-2.0477556616228294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6805000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0</v>
      </c>
      <c r="C9" s="625">
        <f>+SUMIF('BAL N'!J:J,"=422",'BAL N'!D:D)</f>
        <v>3327014</v>
      </c>
      <c r="D9" s="300"/>
      <c r="E9" s="708">
        <f t="shared" si="0" ref="E9:E23">IFERROR((B9-C9)/B9,0)</f>
        <v>0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1698672</v>
      </c>
      <c r="C12" s="625">
        <f>+SUMIF('BAL N'!K:K,"=4313",'BAL N'!D:D)+SUMIF('BAL N'!K:K,"=4314",'BAL N'!D:D)</f>
        <v>496275</v>
      </c>
      <c r="D12" s="300"/>
      <c r="E12" s="708">
        <f t="shared" si="0"/>
        <v>0.7078453050382887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1698672</v>
      </c>
      <c r="C14" s="612">
        <f>SUM(C8:C13)</f>
        <v>1.0628289E7</v>
      </c>
      <c r="D14" s="301"/>
      <c r="E14" s="709">
        <f t="shared" si="0"/>
        <v>-5.256822388312752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1.544535E7</v>
      </c>
      <c r="C16" s="625">
        <f>+SUMIF('BAL N'!J:J,"=441",'BAL N'!D:D)</f>
        <v>1.993095E7</v>
      </c>
      <c r="D16" s="300"/>
      <c r="E16" s="708">
        <f t="shared" si="0"/>
        <v>-0.2904175042974099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290371</v>
      </c>
      <c r="C19" s="267">
        <f>+SUMIF('BAL N'!J:J,"=447",'BAL N'!D:D)</f>
        <v>137500</v>
      </c>
      <c r="D19" s="267"/>
      <c r="E19" s="708">
        <f t="shared" si="0"/>
        <v>0.5264678635263164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1.8753421E7</v>
      </c>
      <c r="C21" s="612">
        <f>SUM(C16:C20)</f>
        <v>2.308615E7</v>
      </c>
      <c r="D21" s="301"/>
      <c r="E21" s="709">
        <f t="shared" si="0"/>
        <v>-0.23103672657911323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2.0452093E7</v>
      </c>
      <c r="C23" s="699">
        <f>+C21+C14</f>
        <v>3.3714439E7</v>
      </c>
      <c r="D23" s="710"/>
      <c r="E23" s="711">
        <f t="shared" si="0"/>
        <v>-0.6484591088061256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3.0374167E7</v>
      </c>
      <c r="C10" s="625">
        <f>+SUMIF('BAL N'!J:J,"=462",'BAL N'!D:D)</f>
        <v>3.0374167E7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0</v>
      </c>
      <c r="C11" s="267">
        <f>+SUMIF('BAL N'!J:J,"=465",'BAL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5.294648115E9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5.294648115E9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5.294648115E9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4.195126324E9</v>
      </c>
      <c r="C13" s="619">
        <f>+SUMIF('BAL N-1'!K:K,"=6021",'BAL N-1'!G:G)</f>
        <v>4.805921959E9</v>
      </c>
      <c r="D13" s="621">
        <f t="shared" si="0"/>
        <v>-0.14559648216209473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4.195126324E9</v>
      </c>
      <c r="C16" s="620">
        <f>SUM(C13:C15)</f>
        <v>4.805921959E9</v>
      </c>
      <c r="D16" s="622">
        <f t="shared" si="0"/>
        <v>-0.14559648216209473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1.0296942E7</v>
      </c>
      <c r="C19" s="619">
        <f>SUMIF('BAL N-1'!J:J,"=604",'BAL N-1'!G:G)-SUMIF('BAL N-1'!K:K,"=6041",'BAL N-1'!G:G)-SUMIF('BAL N-1'!K:K,"=6042",'BAL N-1'!G:G)</f>
        <v>6.7035227E7</v>
      </c>
      <c r="D19" s="621">
        <f t="shared" si="0"/>
        <v>-5.51020730232335</v>
      </c>
    </row>
    <row r="20" spans="1:4" ht="20.1" customHeight="1">
      <c r="A20" s="283" t="s">
        <v>931</v>
      </c>
      <c r="B20" s="618">
        <f>+SUMIF('BAL N'!K:K,"=6043",'BAL N'!G:G)</f>
        <v>2631800</v>
      </c>
      <c r="C20" s="619">
        <f>SUMIF('BAL N-1'!K:K,"=6043",'BAL N-1'!G:G)</f>
        <v>2650000</v>
      </c>
      <c r="D20" s="621">
        <f t="shared" si="0"/>
        <v>-0.006915419104795198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0</v>
      </c>
      <c r="C22" s="619">
        <f>SUMIF('BAL N-1'!K:K,"=6051",'BAL N-1'!G:G)</f>
        <v>6250</v>
      </c>
      <c r="D22" s="621">
        <f t="shared" si="0"/>
        <v>0</v>
      </c>
    </row>
    <row r="23" spans="1:4" ht="20.1" customHeight="1">
      <c r="A23" s="283" t="s">
        <v>934</v>
      </c>
      <c r="B23" s="618">
        <f>+SUMIF('BAL N'!K:K,"=6052",'BAL N'!G:G)</f>
        <v>3.64149E7</v>
      </c>
      <c r="C23" s="619">
        <f>SUMIF('BAL N-1'!K:K,"=6052",'BAL N-1'!G:G)</f>
        <v>1.053802E8</v>
      </c>
      <c r="D23" s="621">
        <f t="shared" si="0"/>
        <v>-1.8938758585084676</v>
      </c>
    </row>
    <row r="24" spans="1:4" ht="20.1" customHeight="1">
      <c r="A24" s="283" t="s">
        <v>935</v>
      </c>
      <c r="B24" s="618">
        <f>+SUMIF('BAL N'!K:K,"=6053",'BAL N'!G:G)</f>
        <v>5498694</v>
      </c>
      <c r="C24" s="619">
        <f>SUMIF('BAL N-1'!K:K,"=6053",'BAL N-1'!G:G)</f>
        <v>6762364</v>
      </c>
      <c r="D24" s="621">
        <f t="shared" si="0"/>
        <v>-0.22981275190072406</v>
      </c>
    </row>
    <row r="25" spans="1:4" ht="20.1" customHeight="1">
      <c r="A25" s="283" t="s">
        <v>936</v>
      </c>
      <c r="B25" s="618">
        <f>+SUMIF('BAL N'!K:K,"=6054",'BAL N'!G:G)</f>
        <v>0</v>
      </c>
      <c r="C25" s="619">
        <f>SUMIF('BAL N-1'!K:K,"=6054",'BAL N-1'!G:G)</f>
        <v>927000</v>
      </c>
      <c r="D25" s="621">
        <f t="shared" si="0"/>
        <v>0</v>
      </c>
    </row>
    <row r="26" spans="1:4" ht="20.1" customHeight="1">
      <c r="A26" s="283" t="s">
        <v>937</v>
      </c>
      <c r="B26" s="618">
        <f>+SUMIF('BAL N'!K:K,"=6055",'BAL N'!G:G)</f>
        <v>3169599</v>
      </c>
      <c r="C26" s="619">
        <f>SUMIF('BAL N-1'!K:K,"=6055",'BAL N-1'!G:G)</f>
        <v>3318750</v>
      </c>
      <c r="D26" s="621">
        <f t="shared" si="0"/>
        <v>-0.04705674124707889</v>
      </c>
    </row>
    <row r="27" spans="1:4" ht="20.1" customHeight="1">
      <c r="A27" s="283" t="s">
        <v>938</v>
      </c>
      <c r="B27" s="618">
        <f>+SUMIF('BAL N'!K:K,"=6056",'BAL N'!G:G)+SUMIF('BAL N'!K:K,"=6058",'BAL N'!G:G)</f>
        <v>1.7086567E7</v>
      </c>
      <c r="C27" s="619">
        <f>SUMIF('BAL N-1'!K:K,"=6056",'BAL N-1'!G:G)+SUMIF('BAL N-1'!K:K,"=6058",'BAL N-1'!G:G)</f>
        <v>8.0629428E7</v>
      </c>
      <c r="D27" s="621">
        <f t="shared" si="0"/>
        <v>-3.718878169031848</v>
      </c>
    </row>
    <row r="28" spans="1:4" ht="27.6">
      <c r="A28" s="283" t="s">
        <v>1504</v>
      </c>
      <c r="B28" s="618">
        <f>+SUMIF('BAL N'!K:K,"=6057",'BAL N'!G:G)</f>
        <v>5.732E7</v>
      </c>
      <c r="C28" s="619">
        <f>SUMIF('BAL N-1'!K:K,"=6057",'BAL N-1'!G:G)</f>
        <v>9.8835743E7</v>
      </c>
      <c r="D28" s="621">
        <f t="shared" si="0"/>
        <v>-0.7242802337752966</v>
      </c>
    </row>
    <row r="29" spans="1:4" ht="20.1" customHeight="1">
      <c r="A29" s="283" t="s">
        <v>939</v>
      </c>
      <c r="B29" s="618">
        <f>+SUMIF('BAL N'!J:J,"=608",'BAL N'!G:G)</f>
        <v>1.00975325E8</v>
      </c>
      <c r="C29" s="619">
        <f>SUMIF('BAL N-1'!J:J,"=608",'BAL N-1'!G:G)</f>
        <v>8.8988546E7</v>
      </c>
      <c r="D29" s="621">
        <f t="shared" si="0"/>
        <v>0.11870998186933293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566973</v>
      </c>
      <c r="C30" s="619">
        <f>SUMIF('BAL N-1'!K:K,"=6025",'BAL N-1'!G:G)+SUMIF('BAL N-1'!K:K,"=6045",'BAL N-1'!G:G)+SUMIF('BAL N-1'!K:K,"=6085",'BAL N-1'!G:G)</f>
        <v>0</v>
      </c>
      <c r="D30" s="621">
        <f t="shared" si="0"/>
        <v>1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2.339608E8</v>
      </c>
      <c r="C32" s="695">
        <f>SUM(C18:C31)</f>
        <v>4.54533508E8</v>
      </c>
      <c r="D32" s="690">
        <f t="shared" si="0"/>
        <v>-0.942776345439065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9.1091451E7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1489547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1.5427611E7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1.08008609E8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0</v>
      </c>
      <c r="C9" s="619">
        <f>+SUMIF('BAL N-1'!J:J,"=622",'BAL N-1'!G:G)</f>
        <v>1080000</v>
      </c>
      <c r="D9" s="621">
        <f t="shared" si="0" ref="D9:D23">IFERROR((B9-C9)/B9,0)</f>
        <v>0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3.265632E7</v>
      </c>
      <c r="C11" s="619">
        <f>+SUMIF('BAL N-1'!J:J,"=624",'BAL N-1'!G:G)</f>
        <v>2239000</v>
      </c>
      <c r="D11" s="621">
        <f t="shared" si="0"/>
        <v>0.9314374675407394</v>
      </c>
    </row>
    <row r="12" spans="1:4" ht="20.1" customHeight="1">
      <c r="A12" s="283" t="s">
        <v>949</v>
      </c>
      <c r="B12" s="618">
        <f>+SUMIF('BAL N'!J:J,"=625",'BAL N'!G:G)</f>
        <v>595000</v>
      </c>
      <c r="C12" s="619">
        <f>+SUMIF('BAL N-1'!J:J,"=625",'BAL N-1'!G:G)</f>
        <v>205000</v>
      </c>
      <c r="D12" s="621">
        <f t="shared" si="0"/>
        <v>0.6554621848739496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4320000</v>
      </c>
      <c r="C14" s="619">
        <f>+SUMIF('BAL N-1'!J:J,"=627",'BAL N-1'!G:G)</f>
        <v>0</v>
      </c>
      <c r="D14" s="621">
        <f t="shared" si="0"/>
        <v>1</v>
      </c>
    </row>
    <row r="15" spans="1:4" ht="20.1" customHeight="1">
      <c r="A15" s="283" t="s">
        <v>952</v>
      </c>
      <c r="B15" s="618">
        <f>+SUMIF('BAL N'!J:J,"=628",'BAL N'!G:G)</f>
        <v>1620419</v>
      </c>
      <c r="C15" s="619">
        <f>+SUMIF('BAL N-1'!J:J,"=628",'BAL N-1'!G:G)</f>
        <v>5957410</v>
      </c>
      <c r="D15" s="621">
        <f t="shared" si="0"/>
        <v>-2.676462692673932</v>
      </c>
    </row>
    <row r="16" spans="1:4" ht="20.1" customHeight="1">
      <c r="A16" s="283" t="s">
        <v>953</v>
      </c>
      <c r="B16" s="618">
        <f>+SUMIF('BAL N'!J:J,"=631",'BAL N'!G:G)</f>
        <v>1.1300887E7</v>
      </c>
      <c r="C16" s="619">
        <f>+SUMIF('BAL N-1'!J:J,"=631",'BAL N-1'!G:G)</f>
        <v>1.15388E7</v>
      </c>
      <c r="D16" s="621">
        <f t="shared" si="0"/>
        <v>-0.02105259525203641</v>
      </c>
    </row>
    <row r="17" spans="1:4" ht="13.8">
      <c r="A17" s="283" t="s">
        <v>954</v>
      </c>
      <c r="B17" s="618">
        <f>+SUMIF('BAL N'!J:J,"=632",'BAL N'!G:G)</f>
        <v>1.33757512E8</v>
      </c>
      <c r="C17" s="619">
        <f>+SUMIF('BAL N-1'!J:J,"=632",'BAL N-1'!G:G)</f>
        <v>1.63608094E8</v>
      </c>
      <c r="D17" s="621">
        <f t="shared" si="0"/>
        <v>-0.22316938730140257</v>
      </c>
    </row>
    <row r="18" spans="1:4" ht="20.1" customHeight="1">
      <c r="A18" s="283" t="s">
        <v>955</v>
      </c>
      <c r="B18" s="618">
        <f>+SUMIF('BAL N'!J:J,"=633",'BAL N'!G:G)</f>
        <v>0</v>
      </c>
      <c r="C18" s="619">
        <f>+SUMIF('BAL N-1'!J:J,"=633",'BAL N-1'!G:G)</f>
        <v>425000</v>
      </c>
      <c r="D18" s="621">
        <f t="shared" si="0"/>
        <v>0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9.7249744E7</v>
      </c>
      <c r="C21" s="619">
        <f>+SUMIF('BAL N-1'!J:J,"=637",'BAL N-1'!G:G)++SUMIF('BAL N-1'!J:J,"=638",'BAL N-1'!G:G)</f>
        <v>1.97979792E8</v>
      </c>
      <c r="D21" s="621">
        <f t="shared" si="0"/>
        <v>-1.035787281866778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2.81499882E8</v>
      </c>
      <c r="C23" s="695">
        <f>SUM(C8:C21)</f>
        <v>3.83033096E8</v>
      </c>
      <c r="D23" s="690">
        <f t="shared" si="0"/>
        <v>-0.3606865241954169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5166230</v>
      </c>
      <c r="C8" s="617">
        <f>+SUMIF('BAL N-1'!J:J,"=641",'BAL N-1'!G:G)</f>
        <v>417494</v>
      </c>
      <c r="D8" s="621">
        <f>IFERROR((B8-C8)/B8,0)</f>
        <v>0.919187879749837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0</v>
      </c>
      <c r="C10" s="617">
        <f>+SUMIF('BAL N-1'!J:J,"=646",'BAL N-1'!G:G)</f>
        <v>14300</v>
      </c>
      <c r="D10" s="621">
        <f t="shared" si="0"/>
        <v>0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5166230</v>
      </c>
      <c r="C14" s="695">
        <f>SUM(C8:C12)</f>
        <v>431794</v>
      </c>
      <c r="D14" s="690">
        <f t="shared" si="0"/>
        <v>0.9164199038757469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2100000</v>
      </c>
      <c r="C13" s="617">
        <f>+SUMIF('BAL N-1'!K:K,"=6582",'BAL N-1'!G:G)+SUMIF('BAL N-1'!K:K,"=6583",'BAL N-1'!G:G)</f>
        <v>510000</v>
      </c>
      <c r="D13" s="621">
        <f t="shared" si="0"/>
        <v>0.7571428571428571</v>
      </c>
    </row>
    <row r="14" spans="1:4" ht="20.1" customHeight="1">
      <c r="A14" s="283" t="s">
        <v>973</v>
      </c>
      <c r="B14" s="744">
        <f>+SUMIF('BAL N'!K:K,"=6588",'BAL N'!G:G)</f>
        <v>0</v>
      </c>
      <c r="C14" s="617">
        <f>+SUMIF('BAL N-1'!K:K,"=6588",'BAL N-1'!G:G)</f>
        <v>6128784</v>
      </c>
      <c r="D14" s="621">
        <f t="shared" si="0"/>
        <v>0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2100000</v>
      </c>
      <c r="C17" s="689">
        <f>SUM(C8:C15)</f>
        <v>6638784</v>
      </c>
      <c r="D17" s="690">
        <f t="shared" si="0"/>
        <v>-2.1613257142857143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1.12136513E8</v>
      </c>
      <c r="C8" s="619">
        <f>+SUMIF('BAL N-1'!J:J,"=661",'BAL N-1'!G:G)</f>
        <v>6.4228172E7</v>
      </c>
      <c r="D8" s="621">
        <f>IFERROR((B8-C8)/B8,0)</f>
        <v>0.4272323056808446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1.0110037E7</v>
      </c>
      <c r="C10" s="619">
        <f>+SUMIF('BAL N-1'!J:J,"=664",'BAL N-1'!G:G)</f>
        <v>1.1856444E7</v>
      </c>
      <c r="D10" s="621">
        <f t="shared" si="0"/>
        <v>-0.17273992172333297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1530000</v>
      </c>
      <c r="C13" s="617">
        <f>+SUMIF('BAL N-1'!J:J,"=668",'BAL N-1'!G:G)</f>
        <v>150171</v>
      </c>
      <c r="D13" s="621">
        <f t="shared" si="0"/>
        <v>0.9018490196078431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1.2377655E8</v>
      </c>
      <c r="C15" s="689">
        <f>SUM(C8:C13)</f>
        <v>7.6234787E7</v>
      </c>
      <c r="D15" s="690">
        <f t="shared" si="0"/>
        <v>0.3840934571209167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5.294648115E9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1.544535E7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8.7524556E7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1.2377655E8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5.294648115E9</v>
      </c>
      <c r="C9" s="770">
        <f>'COMPTE DE RESULTAT'!F14</f>
        <v>6.032644508E9</v>
      </c>
      <c r="D9" s="753">
        <f>IFERROR((B9-C9)/B9,0)</f>
        <v>-0.13938535233516647</v>
      </c>
    </row>
    <row r="10" spans="1:4" ht="13.8">
      <c r="A10" s="439" t="s">
        <v>1127</v>
      </c>
      <c r="B10" s="769">
        <f>'COMPTE DE RESULTAT'!E10</f>
        <v>5.294648115E9</v>
      </c>
      <c r="C10" s="769">
        <f>'COMPTE DE RESULTAT'!F10</f>
        <v>6.032644508E9</v>
      </c>
      <c r="D10" s="753">
        <f t="shared" si="0" ref="D10:D17">IFERROR((B10-C10)/B10,0)</f>
        <v>-0.13938535233516647</v>
      </c>
    </row>
    <row r="11" spans="1:4" ht="13.8">
      <c r="A11" s="439" t="s">
        <v>1128</v>
      </c>
      <c r="B11" s="769">
        <f>'COMPTE DE RESULTAT'!E28</f>
        <v>3.94274431E8</v>
      </c>
      <c r="C11" s="769">
        <f>'COMPTE DE RESULTAT'!F28</f>
        <v>3.13287315E8</v>
      </c>
      <c r="D11" s="753">
        <f t="shared" si="0"/>
        <v>0.20540798396333237</v>
      </c>
    </row>
    <row r="12" spans="1:4" ht="13.8">
      <c r="A12" s="439" t="s">
        <v>1129</v>
      </c>
      <c r="B12" s="769">
        <f>'COMPTE DE RESULTAT'!E30</f>
        <v>2.70497881E8</v>
      </c>
      <c r="C12" s="769">
        <f>'COMPTE DE RESULTAT'!F30</f>
        <v>2.37052528E8</v>
      </c>
      <c r="D12" s="753">
        <f t="shared" si="0"/>
        <v>0.1236436783769112</v>
      </c>
    </row>
    <row r="13" spans="1:4" ht="13.8">
      <c r="A13" s="439" t="s">
        <v>1130</v>
      </c>
      <c r="B13" s="769">
        <f>'COMPTE DE RESULTAT'!E33</f>
        <v>1.02969906E8</v>
      </c>
      <c r="C13" s="769">
        <f>'COMPTE DE RESULTAT'!F33</f>
        <v>1.14178607E8</v>
      </c>
      <c r="D13" s="753">
        <f t="shared" si="0"/>
        <v>-0.10885414423899736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1.02969906E8</v>
      </c>
      <c r="C15" s="769">
        <f>'COMPTE DE RESULTAT'!F40</f>
        <v>1.14178607E8</v>
      </c>
      <c r="D15" s="753">
        <f t="shared" si="0"/>
        <v>-0.10885414423899736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8.7524556E7</v>
      </c>
      <c r="C17" s="769">
        <f>'COMPTE DE RESULTAT'!F48</f>
        <v>9.7051816E7</v>
      </c>
      <c r="D17" s="753">
        <f t="shared" si="0"/>
        <v>-0.10885242308455698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2.70497881E8</v>
      </c>
      <c r="C19" s="769">
        <f>C12</f>
        <v>2.37052528E8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1.14178607E8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2.70497881E8</v>
      </c>
      <c r="C22" s="771">
        <f>C19+C20+C21</f>
        <v>3.51231135E8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9.7051816E7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2.37052528E8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1.14178607E8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3.51231135E8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1.544535E7</v>
      </c>
      <c r="C31" s="769">
        <f t="shared" si="1"/>
        <v>9.7051816E7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2.55052531E8</v>
      </c>
      <c r="C33" s="771">
        <f>+C22+C23+C24+C25+C26+C27-C28-C29-C30-C31</f>
        <v>3.51231135E8</v>
      </c>
      <c r="D33" s="467"/>
    </row>
    <row r="34" spans="1:4" ht="13.8">
      <c r="A34" s="468" t="s">
        <v>1150</v>
      </c>
      <c r="B34" s="769">
        <f>+SUMIF('BAL N'!J:J,"=465",'BAL N'!H:H)</f>
        <v>0</v>
      </c>
      <c r="C34" s="770">
        <f>+SUMIF('BAL N'!J:J,"=465",'BAL N'!H:H)</f>
        <v>0</v>
      </c>
      <c r="D34" s="469"/>
    </row>
    <row r="35" spans="1:4" ht="20.1" customHeight="1">
      <c r="A35" s="466" t="s">
        <v>1151</v>
      </c>
      <c r="B35" s="771">
        <f>+B33-B34</f>
        <v>2.55052531E8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0.29328623781142427</v>
      </c>
      <c r="C37" s="469"/>
      <c r="D37" s="469"/>
    </row>
    <row r="38" spans="1:4" ht="32.1" customHeight="1">
      <c r="A38" s="439"/>
      <c r="B38" s="772">
        <f>IFERROR(B17/'BILAN PAYSAGE'!K18,0)</f>
        <v>0.24929368921979322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3.51090139E8</v>
      </c>
      <c r="C40" s="769">
        <f>'BILAN PAYSAGE'!L18</f>
        <v>1.156318426E9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3.51090139E8</v>
      </c>
      <c r="C42" s="769">
        <f>C40+C41</f>
        <v>1.156318426E9</v>
      </c>
      <c r="D42" s="773"/>
    </row>
    <row r="43" spans="1:4" ht="13.8">
      <c r="A43" s="468" t="s">
        <v>1157</v>
      </c>
      <c r="B43" s="769">
        <f>'BILAN PAYSAGE'!F23</f>
        <v>1.448144466E9</v>
      </c>
      <c r="C43" s="769">
        <f>'BILAN PAYSAGE'!G23</f>
        <v>1.428529041E9</v>
      </c>
      <c r="D43" s="773"/>
    </row>
    <row r="44" spans="1:4" ht="20.1" customHeight="1">
      <c r="A44" s="466" t="s">
        <v>1158</v>
      </c>
      <c r="B44" s="771">
        <f>+B42-B43</f>
        <v>-1.097054327E9</v>
      </c>
      <c r="C44" s="771">
        <f>+C42-C43</f>
        <v>-2.72210615E8</v>
      </c>
      <c r="D44" s="471"/>
    </row>
    <row r="45" spans="1:4" ht="13.8">
      <c r="A45" s="470" t="s">
        <v>1159</v>
      </c>
      <c r="B45" s="769">
        <f>+'BILAN PAYSAGE'!F30-'BILAN PAYSAGE'!F24</f>
        <v>3.4017855117E10</v>
      </c>
      <c r="C45" s="769">
        <f>+'BILAN PAYSAGE'!G30-'BILAN PAYSAGE'!G24</f>
        <v>3.5682455195E10</v>
      </c>
      <c r="D45" s="469"/>
    </row>
    <row r="46" spans="1:4" ht="13.8">
      <c r="A46" s="465" t="s">
        <v>1160</v>
      </c>
      <c r="B46" s="769">
        <f>+'BILAN PAYSAGE'!K30-'BILAN PAYSAGE'!K24</f>
        <v>3.4443109491E10</v>
      </c>
      <c r="C46" s="769">
        <f>+'BILAN PAYSAGE'!L30-'BILAN PAYSAGE'!L24</f>
        <v>2.9124835933E10</v>
      </c>
      <c r="D46" s="469"/>
    </row>
    <row r="47" spans="1:4" ht="13.8">
      <c r="A47" s="468" t="s">
        <v>1161</v>
      </c>
      <c r="B47" s="769">
        <f>+B45-B46</f>
        <v>-4.25254374E8</v>
      </c>
      <c r="C47" s="769">
        <f>+C45-C46</f>
        <v>6.557619262E9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-4.25254374E8</v>
      </c>
      <c r="C51" s="771">
        <f>+C47+C50</f>
        <v>6.557619262E9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-6.71799953E8</v>
      </c>
      <c r="C53" s="830">
        <f>+C44-C51</f>
        <v>-6.829829877E9</v>
      </c>
      <c r="D53" s="831"/>
    </row>
    <row r="54" spans="1:4" ht="13.8">
      <c r="A54" s="832" t="s">
        <v>1167</v>
      </c>
      <c r="B54" s="833">
        <f>+'BILAN PAYSAGE'!F34-'BILAN PAYSAGE'!K34</f>
        <v>2.2095289E8</v>
      </c>
      <c r="C54" s="833">
        <f>+'BILAN PAYSAGE'!G34-'BILAN PAYSAGE'!L34</f>
        <v>9.2418291E7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-7.05861271E8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-7.05861271E8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3.4443109491E10</v>
      </c>
      <c r="C61" s="833"/>
      <c r="D61" s="836"/>
    </row>
    <row r="62" spans="1:4" ht="13.8">
      <c r="A62" s="839" t="s">
        <v>1521</v>
      </c>
      <c r="B62" s="840">
        <f>'BILAN PAYSAGE'!F30</f>
        <v>3.4017855117E10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4.25254374E8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7a2c16c-9223-4b59-8a7f-e8b623c78522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