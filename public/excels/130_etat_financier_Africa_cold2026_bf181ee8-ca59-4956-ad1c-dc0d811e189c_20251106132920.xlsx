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61" activeTab="66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  <sheet name="Evaluation Warning (2)" sheetId="69" r:id="rId62"/>
    <sheet name="Evaluation Warning (3)" sheetId="70" r:id="rId63"/>
    <sheet name="Evaluation Warning (4)" sheetId="71" r:id="rId64"/>
    <sheet name="Evaluation Warning (5)" sheetId="72" r:id="rId65"/>
    <sheet name="Evaluation Warning (6)" sheetId="73" r:id="rId66"/>
    <sheet name="Evaluation Warning (7)" sheetId="74" r:id="rId67"/>
    <sheet name="Evaluation Warning (8)" sheetId="75" r:id="rId68"/>
    <sheet name="Evaluation Warning (9)" sheetId="76" r:id="rId69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<sst xmlns="http://schemas.openxmlformats.org/spreadsheetml/2006/main" count="4478" uniqueCount="1675">
  <si>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</si>
  <si>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</si>
  <si>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</si>
  <si>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</si>
  <si>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</si>
  <si>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</si>
  <si>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</si>
  <si>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</si>
  <si>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</si>
  <si>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</si>
  <si>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</si>
  <si>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</si>
  <si>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</si>
  <si>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</si>
  <si>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</si>
  <si>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</si>
  <si>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</si>
  <si>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</si>
  <si>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</si>
  <si>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</si>
  <si>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</si>
  <si>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</si>
  <si>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</si>
  <si>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</si>
  <si>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</si>
  <si>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</si>
  <si>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</si>
  <si>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</si>
  <si>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</si>
  <si>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</si>
  <si>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</si>
  <si>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</si>
  <si>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</si>
  <si>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</si>
  <si>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</si>
  <si>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</si>
  <si>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</si>
  <si>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</si>
  <si>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</si>
  <si>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</si>
  <si>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</si>
  <si>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</si>
  <si>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</si>
  <si>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</si>
  <si>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</si>
  <si>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</si>
  <si>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</si>
  <si>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</si>
  <si>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</si>
  <si>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</si>
  <si>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</si>
  <si>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</si>
  <si>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</si>
  <si>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</si>
  <si>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</si>
  <si>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</si>
  <si>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</si>
  <si>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</si>
  <si>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</si>
  <si>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</si>
  <si>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</si>
  <si>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</si>
  <si>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</si>
  <si>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</si>
  <si>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</si>
  <si>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</si>
  <si>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</si>
  <si>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</si>
  <si>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</si>
  <si>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</si>
  <si>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</si>
  <si>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</si>
  <si>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</si>
  <si>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</si>
  <si>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</si>
  <si>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</si>
  <si>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</si>
  <si>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</si>
  <si>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</si>
  <si>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</si>
  <si>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</si>
  <si>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</si>
  <si>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</si>
  <si>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</si>
  <si>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</si>
  <si>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</si>
  <si>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</si>
  <si>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</si>
  <si>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</si>
  <si>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</si>
  <si>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</si>
  <si>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</si>
  <si>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</si>
  <si>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</si>
  <si>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</si>
  <si>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</si>
  <si>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</si>
  <si>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</si>
  <si>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</si>
  <si>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</si>
  <si>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</si>
  <si>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</si>
  <si>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</si>
  <si>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</si>
  <si>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</si>
  <si>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</si>
  <si>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</si>
  <si>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</si>
  <si>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</si>
  <si>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</si>
  <si>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</si>
  <si>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</si>
  <si>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</si>
  <si>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</si>
  <si>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</si>
  <si>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</si>
  <si>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</si>
  <si>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</si>
  <si>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</si>
  <si>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</si>
  <si>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</si>
  <si>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</si>
  <si>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</si>
  <si>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</si>
  <si>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</si>
  <si>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</si>
  <si>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</si>
  <si>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</si>
  <si>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</si>
  <si>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</si>
  <si>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</si>
  <si>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</si>
  <si>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</si>
  <si>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</si>
  <si>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</si>
  <si>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</si>
  <si>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</si>
  <si>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</si>
  <si>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</si>
  <si>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</si>
  <si>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</si>
  <si>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</si>
  <si>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</si>
  <si>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</si>
  <si>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</si>
  <si>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</si>
  <si>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</si>
  <si>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</si>
  <si>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</si>
  <si>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</si>
  <si>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</si>
  <si>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</si>
  <si>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</si>
  <si>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</si>
  <si>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</si>
  <si>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</si>
  <si>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</si>
  <si>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</si>
  <si>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</si>
  <si>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</si>
  <si>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</si>
  <si>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</si>
  <si>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</si>
  <si>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</si>
  <si>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</si>
  <si>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</si>
  <si>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</si>
  <si>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</si>
  <si>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</si>
  <si>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</si>
  <si>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</si>
  <si>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</si>
  <si>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</si>
  <si>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</si>
  <si>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</si>
  <si>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</si>
  <si>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</si>
  <si>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</si>
  <si>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</si>
  <si>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</si>
  <si>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</si>
  <si>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</si>
  <si>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</si>
  <si>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</si>
  <si>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</si>
  <si>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</si>
  <si>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</si>
  <si>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</si>
  <si>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</si>
  <si>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</si>
  <si>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</si>
  <si>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</si>
  <si>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</si>
  <si>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</si>
  <si>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</si>
  <si>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</si>
  <si>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</si>
  <si>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</si>
  <si>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</si>
  <si>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</si>
  <si>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</si>
  <si>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</si>
  <si>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</si>
  <si>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</si>
  <si>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</si>
  <si>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</si>
  <si>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</si>
  <si>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</si>
  <si>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</si>
  <si>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</si>
  <si>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</si>
  <si>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</si>
  <si>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</si>
  <si>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</si>
  <si>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</si>
  <si>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</si>
  <si>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</si>
  <si>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</si>
  <si>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</si>
  <si>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</si>
  <si>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</si>
  <si>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</si>
  <si>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</si>
  <si>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</si>
  <si>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</si>
  <si>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</si>
  <si>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</si>
  <si>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</si>
  <si>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</si>
  <si>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</si>
  <si>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</si>
  <si>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</si>
  <si>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</si>
  <si>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</si>
  <si>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</si>
  <si>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</si>
  <si>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</si>
  <si>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</si>
  <si>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</si>
  <si>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</si>
  <si>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</si>
  <si>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</si>
  <si>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</si>
  <si>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</si>
  <si>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</si>
  <si>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</si>
  <si>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</si>
  <si>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</si>
  <si>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</si>
  <si>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</si>
  <si>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</si>
  <si>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</si>
  <si>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</si>
  <si>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</si>
  <si>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</si>
  <si>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</si>
  <si>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</si>
  <si>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</si>
  <si>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</si>
  <si>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</si>
  <si>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</si>
  <si>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</si>
  <si>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</si>
  <si>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</si>
  <si>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</si>
  <si>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</si>
  <si>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</si>
  <si>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</si>
  <si>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</si>
  <si>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</si>
  <si>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</si>
  <si>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</si>
  <si>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</si>
  <si>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</si>
  <si>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</si>
  <si>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</si>
  <si>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</si>
  <si>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</si>
  <si>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</si>
  <si>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</si>
  <si>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</si>
  <si>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</si>
  <si>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</si>
  <si>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</si>
  <si>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</si>
  <si>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</si>
  <si>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</si>
  <si>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</si>
  <si>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</si>
  <si>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</si>
  <si>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</si>
  <si>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</si>
  <si>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</si>
  <si>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</si>
  <si>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</si>
  <si>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</si>
  <si>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</si>
  <si>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</si>
  <si>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</si>
  <si>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</si>
  <si>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</si>
  <si>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</si>
  <si>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</si>
  <si>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</si>
  <si>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</si>
  <si>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</si>
  <si>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</si>
  <si>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</si>
  <si>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</si>
  <si>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</si>
  <si>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</si>
  <si>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</si>
  <si>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</si>
  <si>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</si>
  <si>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</si>
  <si>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</si>
  <si>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</si>
  <si>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</si>
  <si>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</si>
  <si>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</si>
  <si>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</si>
  <si>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</si>
  <si>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</si>
  <si>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</si>
  <si>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</si>
  <si>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</si>
  <si>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</si>
  <si>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</si>
  <si>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</si>
  <si>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</si>
  <si>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</si>
  <si>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</si>
  <si>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</si>
  <si>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</si>
  <si>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</si>
  <si>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</si>
  <si>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</si>
  <si>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</si>
  <si>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</si>
  <si>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</si>
  <si>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</si>
  <si>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</si>
  <si>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</si>
  <si>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</si>
  <si>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</si>
  <si>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</si>
  <si>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</si>
  <si>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</si>
  <si>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</si>
  <si>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</si>
  <si>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</si>
  <si>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</si>
  <si>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</si>
  <si>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</si>
  <si>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</si>
  <si>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</si>
  <si>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</si>
  <si>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</si>
  <si>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</si>
  <si>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</si>
  <si>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</si>
  <si>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</si>
  <si>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</si>
  <si>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</si>
  <si>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</si>
  <si>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</si>
  <si>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</si>
  <si>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</si>
  <si>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</si>
  <si>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</si>
  <si>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</si>
  <si>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</si>
  <si>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</si>
  <si>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</si>
  <si>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</si>
  <si>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</si>
  <si>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</si>
  <si>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</si>
  <si>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</si>
  <si>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</si>
  <si>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</si>
  <si>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</si>
  <si>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</si>
  <si>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</si>
  <si>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</si>
  <si>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</si>
  <si>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</si>
  <si>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</si>
  <si>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</si>
  <si>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</si>
  <si>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</si>
  <si>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</si>
  <si>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</si>
  <si>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</si>
  <si>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</si>
  <si>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</si>
  <si>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</si>
  <si>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</si>
  <si>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</si>
  <si>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</si>
  <si>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</si>
  <si>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</si>
  <si>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</si>
  <si>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</si>
  <si>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</si>
  <si>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</si>
  <si>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</si>
  <si>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</si>
  <si>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</si>
  <si>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</si>
  <si>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</si>
  <si>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</si>
  <si>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</si>
  <si>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</si>
  <si>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</si>
  <si>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</si>
  <si>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</si>
  <si>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</si>
  <si>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</si>
  <si>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</si>
  <si>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</si>
  <si>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</si>
  <si>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</si>
  <si>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</si>
  <si>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</si>
  <si>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</si>
  <si>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</si>
  <si>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</si>
  <si>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</si>
  <si>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</si>
  <si>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</si>
  <si>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</si>
  <si>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</si>
  <si>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</si>
  <si>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</si>
  <si>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</si>
  <si>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</si>
  <si>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</si>
  <si>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</si>
  <si>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</si>
  <si>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</si>
  <si>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</si>
  <si>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</si>
  <si>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</si>
  <si>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</si>
  <si>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</si>
  <si>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</si>
  <si>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</si>
  <si>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</si>
  <si>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</si>
  <si>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</si>
  <si>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</si>
  <si>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</si>
  <si>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</si>
  <si>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</si>
  <si>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</si>
  <si>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</si>
  <si>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</si>
  <si>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</si>
  <si>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</si>
  <si>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</si>
  <si>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</si>
  <si>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</si>
  <si>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</si>
  <si>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</si>
  <si>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</si>
  <si>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</si>
  <si>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</si>
  <si>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</si>
  <si>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</si>
  <si>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</si>
  <si>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</si>
  <si>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</si>
  <si>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</si>
  <si>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</si>
  <si>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</si>
  <si>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</si>
  <si>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</si>
  <si>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</si>
  <si>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</si>
  <si>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</si>
  <si>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</si>
  <si>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</si>
  <si>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</si>
  <si>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</si>
  <si>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</si>
  <si>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</si>
  <si>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</si>
  <si>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</si>
  <si>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</si>
  <si>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</si>
  <si>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</si>
  <si>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</si>
  <si>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</si>
  <si>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</si>
  <si>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</si>
  <si>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</si>
  <si>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</si>
  <si>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</si>
  <si>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</si>
  <si>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</si>
  <si>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</si>
  <si>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</si>
  <si>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</si>
  <si>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</si>
  <si>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</si>
  <si>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</si>
  <si>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</si>
  <si>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</si>
  <si>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</si>
  <si>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</si>
  <si>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</si>
  <si>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</si>
  <si>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</si>
  <si>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</si>
  <si>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</si>
  <si>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</si>
  <si>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</si>
  <si>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</si>
  <si>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</si>
  <si>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</si>
  <si>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</si>
  <si>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</si>
  <si>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</si>
  <si>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</si>
  <si>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</si>
  <si>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</si>
  <si>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</si>
  <si>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</si>
  <si>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</si>
  <si>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</si>
  <si>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</si>
  <si>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</si>
  <si>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</si>
  <si>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</si>
  <si>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</si>
  <si>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</si>
  <si>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</si>
  <si>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</si>
  <si>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</si>
  <si>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</si>
  <si>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</si>
  <si>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</si>
  <si>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</si>
  <si>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</si>
  <si>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</si>
  <si>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</si>
  <si>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</si>
  <si>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</si>
  <si>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</si>
  <si>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</si>
  <si>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</si>
  <si>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</si>
  <si>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</si>
  <si>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</si>
  <si>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</si>
  <si>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</si>
  <si>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</si>
  <si>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</si>
  <si>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</si>
  <si>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</si>
  <si>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</si>
  <si>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</si>
  <si>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</si>
  <si>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</si>
  <si>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</si>
  <si>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</si>
  <si>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</si>
  <si>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</si>
  <si>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</si>
  <si>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</si>
  <si>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</si>
  <si>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</si>
  <si>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</si>
  <si>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</si>
  <si>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</si>
  <si>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</si>
  <si>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</si>
  <si>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</si>
  <si>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</si>
  <si>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</si>
  <si>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</si>
  <si>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</si>
  <si>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</si>
  <si>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</si>
  <si>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</si>
  <si>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</si>
  <si>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</si>
  <si>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</si>
  <si>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</si>
  <si>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</si>
  <si>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</si>
  <si>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</si>
  <si>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</si>
  <si>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</si>
  <si>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</si>
  <si>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</si>
  <si>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</si>
  <si>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</si>
  <si>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</si>
  <si>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</si>
  <si>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</si>
  <si>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</si>
  <si>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</si>
  <si>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</si>
  <si>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</si>
  <si>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</si>
  <si>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</si>
  <si>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</si>
  <si>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</si>
  <si>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</si>
  <si>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</si>
  <si>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</si>
  <si>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</si>
  <si>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</si>
  <si>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</si>
  <si>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</si>
  <si>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</si>
  <si>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</si>
  <si>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</si>
  <si>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</si>
  <si>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</si>
  <si>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</si>
  <si>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</si>
  <si>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</si>
  <si>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</si>
  <si>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</si>
  <si>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</si>
  <si>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</si>
  <si>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</si>
  <si>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</si>
  <si>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</si>
  <si>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</si>
  <si>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</si>
  <si>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</si>
  <si>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</si>
  <si>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</si>
  <si>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</si>
  <si>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</si>
  <si>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</si>
  <si>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</si>
  <si>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</si>
  <si>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</si>
  <si>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</si>
  <si>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</si>
  <si>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</si>
  <si>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</si>
  <si>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</si>
  <si>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</si>
  <si>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</si>
  <si>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</si>
  <si>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</si>
  <si>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</si>
  <si>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</si>
  <si>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</si>
  <si>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</si>
  <si>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</si>
  <si>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</si>
  <si>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</si>
  <si>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</si>
  <si>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</si>
  <si>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</si>
  <si>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</si>
  <si>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</si>
  <si>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</si>
  <si>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</si>
  <si>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</si>
  <si>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</si>
  <si>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</si>
  <si>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</si>
  <si>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</si>
  <si>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</si>
  <si>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</si>
  <si>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</si>
  <si>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</si>
  <si>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</si>
  <si>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</si>
  <si>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</si>
  <si>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</si>
  <si>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</si>
  <si>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</si>
  <si>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</si>
  <si>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</si>
  <si>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</si>
  <si>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</si>
  <si>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</si>
  <si>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</si>
  <si>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</si>
  <si>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</si>
  <si>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</si>
  <si>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</si>
  <si>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</si>
  <si>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</si>
  <si>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</si>
  <si>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</si>
  <si>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</si>
  <si>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</si>
  <si>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</si>
  <si>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</si>
  <si>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</si>
  <si>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</si>
  <si>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</si>
  <si>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</si>
  <si>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</si>
  <si>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</si>
  <si>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</si>
  <si>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</si>
  <si>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</si>
  <si>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</si>
  <si>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</si>
  <si>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</si>
  <si>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</si>
  <si>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</si>
  <si>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</si>
  <si>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</si>
  <si>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</si>
  <si>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</si>
  <si>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</si>
  <si>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</si>
  <si>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</si>
  <si>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</si>
  <si>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</si>
  <si>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</si>
  <si>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</si>
  <si>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</si>
  <si>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</si>
  <si>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</si>
  <si>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</si>
  <si>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</si>
  <si>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</si>
  <si>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</si>
  <si>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</si>
  <si>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</si>
  <si>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</si>
  <si>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</si>
  <si>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</si>
  <si>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</si>
  <si>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</si>
  <si>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</si>
  <si>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</si>
  <si>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</si>
  <si>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</si>
  <si>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</si>
  <si>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</si>
  <si>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</si>
  <si>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</si>
  <si>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</si>
  <si>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</si>
  <si>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</si>
  <si>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</si>
  <si>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</si>
  <si>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</si>
  <si>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</si>
  <si>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</si>
  <si>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</si>
  <si>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</si>
  <si>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</si>
  <si>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</si>
  <si>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</si>
  <si>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</si>
  <si>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</si>
  <si>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</si>
  <si>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</si>
  <si>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</si>
  <si>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</si>
  <si>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</si>
  <si>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</si>
  <si>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</si>
  <si>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</si>
  <si>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</si>
  <si>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</si>
  <si>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</si>
  <si>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</si>
  <si>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</si>
  <si>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</si>
  <si>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</si>
  <si>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</si>
  <si>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</si>
  <si>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</si>
  <si>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</si>
  <si>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</si>
  <si>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</si>
  <si>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</si>
  <si>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</si>
  <si>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</si>
  <si>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</si>
  <si>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</si>
  <si>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</si>
  <si>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</si>
  <si>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</si>
  <si>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</si>
  <si>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</si>
  <si>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</si>
  <si>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</si>
  <si>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</si>
  <si>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</si>
  <si>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</si>
  <si>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</si>
  <si>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</si>
  <si>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</si>
  <si>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</si>
  <si>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</si>
  <si>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</si>
  <si>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</si>
  <si>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</si>
  <si>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</si>
  <si>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</si>
  <si>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</si>
  <si>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</si>
  <si>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</si>
  <si>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</si>
  <si>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</si>
  <si>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</si>
  <si>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</si>
  <si>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</si>
  <si>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</si>
  <si>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</si>
  <si>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</si>
  <si>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</si>
  <si>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</si>
  <si>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</si>
  <si>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</si>
  <si>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</si>
  <si>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</si>
  <si>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</si>
  <si>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</si>
  <si>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</si>
  <si>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</si>
  <si>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</si>
  <si>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</si>
  <si>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</si>
  <si>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</si>
  <si>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</si>
  <si>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</si>
  <si>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</si>
  <si>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</si>
  <si>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</si>
  <si>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</si>
  <si>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</si>
  <si>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</si>
  <si>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</si>
  <si>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</si>
  <si>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</si>
  <si>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</si>
  <si>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</si>
  <si>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</si>
  <si>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</si>
  <si>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</si>
  <si>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</si>
  <si>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</si>
  <si>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</si>
  <si>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</si>
  <si>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</si>
  <si>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</si>
  <si>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</si>
  <si>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</si>
  <si>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</si>
  <si>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</si>
  <si>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</si>
  <si>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</si>
  <si>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</si>
  <si>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</si>
  <si>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</si>
  <si>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</si>
  <si>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</si>
  <si>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</si>
  <si>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</si>
  <si>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</si>
  <si>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</si>
  <si>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</si>
  <si>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</si>
  <si>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</si>
  <si>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</si>
  <si>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</si>
  <si>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</si>
  <si>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</si>
  <si>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</si>
  <si>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</si>
  <si>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</si>
  <si>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</si>
  <si>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</si>
  <si>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</si>
  <si>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</si>
  <si>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</si>
  <si>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</si>
  <si>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</si>
  <si>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</si>
  <si>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</si>
  <si>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</si>
  <si>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</si>
  <si>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</si>
  <si>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</si>
  <si>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</si>
  <si>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</si>
  <si>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</si>
  <si>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</si>
  <si>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</si>
  <si>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</si>
  <si>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</si>
  <si>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</si>
  <si>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</si>
  <si>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</si>
  <si>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</si>
  <si>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</si>
  <si>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</si>
  <si>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</si>
  <si>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</si>
  <si>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</si>
  <si>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</si>
  <si>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</si>
  <si>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</si>
  <si>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</si>
  <si>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</si>
  <si>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</si>
  <si>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</si>
  <si>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</si>
  <si>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</si>
  <si>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</si>
  <si>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</si>
  <si>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</si>
  <si>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</si>
  <si>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</si>
  <si>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</si>
  <si>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</si>
  <si>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</si>
  <si>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</si>
  <si>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</si>
  <si>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</si>
  <si>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</si>
  <si>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</si>
  <si>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</si>
  <si>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</si>
  <si>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</si>
  <si>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</si>
  <si>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</si>
  <si>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</si>
  <si>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</si>
  <si>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</si>
  <si>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</si>
  <si>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</si>
  <si>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</si>
  <si>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</si>
  <si>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</si>
  <si>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</si>
  <si>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</si>
  <si>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</si>
  <si>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</si>
  <si>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</si>
  <si>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</si>
  <si>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</si>
  <si>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</si>
  <si>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</si>
  <si>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</si>
  <si>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</si>
  <si>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</si>
  <si>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</si>
  <si>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</si>
  <si>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</si>
  <si>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</si>
  <si>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</si>
  <si>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</si>
  <si>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</si>
  <si>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</si>
  <si>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</si>
  <si>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</si>
  <si>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</si>
  <si>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</si>
  <si>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</si>
  <si>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</si>
  <si>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</si>
  <si>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</si>
  <si>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</si>
  <si>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</si>
  <si>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</si>
  <si>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</si>
  <si>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</si>
  <si>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</si>
  <si>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</si>
  <si>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</si>
  <si>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</si>
  <si>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</si>
  <si>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</si>
  <si>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</si>
  <si>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</si>
  <si>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</si>
  <si>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</si>
  <si>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</si>
  <si>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</si>
  <si>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</si>
  <si>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</si>
  <si>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</si>
  <si>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</si>
  <si>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</si>
  <si>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</si>
  <si>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</si>
  <si>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</si>
  <si>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</si>
  <si>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</si>
  <si>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</si>
  <si>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</si>
  <si>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</si>
  <si>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</si>
  <si>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</si>
  <si>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</si>
  <si>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</si>
  <si>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</si>
  <si>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</si>
  <si>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</si>
  <si>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</si>
  <si>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</si>
  <si>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</si>
  <si>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</si>
  <si>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</si>
  <si>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</si>
  <si>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</si>
  <si>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</si>
  <si>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</si>
  <si>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</si>
  <si>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</si>
  <si>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</si>
  <si>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</si>
  <si>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</si>
  <si>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</si>
  <si>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</si>
  <si>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</si>
  <si>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</si>
  <si>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</si>
  <si>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</si>
  <si>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</si>
  <si>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</si>
  <si>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</si>
  <si>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</si>
  <si>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</si>
  <si>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</si>
  <si>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</si>
  <si>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</si>
  <si>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</si>
  <si>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</si>
  <si>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</si>
  <si>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</si>
  <si>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</si>
  <si>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</si>
  <si>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</si>
  <si>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</si>
  <si>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</si>
  <si>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</si>
  <si>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</si>
  <si>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</si>
  <si>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</si>
  <si>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</si>
  <si>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</si>
  <si>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</si>
  <si>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</si>
  <si>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</si>
  <si>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</si>
  <si>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</si>
  <si>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</si>
  <si>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</si>
  <si>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</si>
  <si>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</si>
  <si>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</si>
  <si>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</si>
  <si>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</si>
  <si>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</si>
  <si>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</si>
  <si>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</si>
  <si>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</si>
  <si>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</si>
  <si>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</si>
  <si>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</si>
  <si>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</si>
  <si>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</si>
  <si>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</si>
  <si>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</si>
  <si>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</si>
  <si>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</si>
  <si>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</si>
  <si>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</si>
  <si>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</si>
  <si>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</si>
  <si>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</si>
  <si>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</si>
  <si>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</si>
  <si>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</si>
  <si>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</si>
  <si>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</si>
  <si>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</si>
  <si>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</si>
  <si>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</si>
  <si>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</si>
  <si>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</si>
  <si>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</si>
  <si>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</si>
  <si>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</si>
  <si>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</si>
  <si>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</si>
  <si>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</si>
  <si>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</si>
  <si>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</si>
  <si>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</si>
  <si>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</si>
  <si>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</si>
  <si>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</si>
  <si>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</si>
  <si>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</si>
  <si>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</si>
  <si>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</si>
  <si>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</si>
  <si>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</si>
  <si>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</si>
  <si>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</si>
  <si>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</si>
  <si>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</si>
  <si>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</si>
  <si>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</si>
  <si>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</si>
  <si>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</si>
  <si>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</si>
  <si>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</si>
  <si>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</si>
  <si>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</si>
  <si>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</si>
  <si>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</si>
  <si>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</si>
  <si>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</si>
  <si>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</si>
  <si>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</si>
  <si>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</si>
  <si>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</si>
  <si>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</si>
  <si>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</si>
  <si>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</si>
  <si>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</si>
  <si>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</si>
  <si>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</si>
  <si>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</si>
  <si>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</si>
  <si>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</si>
  <si>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</si>
  <si>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</si>
  <si>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</si>
  <si>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</si>
  <si>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</si>
  <si>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</si>
  <si>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</si>
  <si>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</si>
  <si>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</si>
  <si>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</si>
  <si>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</si>
  <si>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</si>
  <si>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</si>
  <si>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</si>
  <si>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</si>
  <si>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</si>
  <si>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</si>
  <si>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</si>
  <si>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</si>
  <si>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</si>
  <si>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</si>
  <si>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</si>
  <si>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</si>
  <si>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</si>
  <si>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</si>
  <si>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</si>
  <si>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</si>
  <si>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</si>
  <si>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</si>
  <si>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</si>
  <si>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</si>
  <si>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</si>
  <si>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</si>
  <si>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</si>
  <si>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</si>
  <si>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</si>
  <si>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</si>
  <si>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</si>
  <si>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</si>
  <si>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</si>
  <si>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</si>
  <si>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</si>
  <si>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</si>
  <si>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</si>
  <si>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</si>
  <si>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</si>
  <si>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</si>
  <si>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</si>
  <si>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</si>
  <si>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</si>
  <si>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</si>
  <si>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</si>
  <si>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</si>
  <si>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</si>
  <si>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</si>
  <si>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</si>
  <si>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</si>
  <si>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</si>
  <si>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</si>
  <si>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</si>
  <si>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</si>
  <si>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</si>
  <si>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</si>
  <si>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</si>
  <si>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</si>
  <si>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</si>
  <si>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</si>
  <si>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</si>
  <si>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</si>
  <si>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</si>
  <si>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</si>
  <si>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</si>
  <si>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</si>
  <si>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</si>
  <si>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</si>
  <si>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</si>
  <si>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</si>
  <si>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</si>
  <si>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</si>
  <si>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</si>
  <si>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</si>
  <si>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</si>
  <si>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</si>
  <si>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</si>
  <si>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</si>
  <si>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</si>
  <si>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</si>
  <si>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</si>
  <si>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</si>
  <si>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</si>
  <si>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</si>
  <si>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</si>
  <si>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</si>
  <si>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</si>
  <si>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</si>
  <si>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</si>
  <si>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</si>
  <si>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</si>
  <si>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</si>
  <si>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</si>
  <si>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</si>
  <si>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</si>
  <si>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</si>
  <si>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</si>
  <si>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</si>
  <si>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</si>
  <si>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</si>
  <si>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</si>
  <si>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</si>
  <si>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</si>
  <si>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</si>
  <si>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</si>
  <si>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</si>
  <si>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</si>
  <si>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</si>
  <si>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</si>
  <si>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</si>
  <si>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</si>
  <si>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</si>
  <si>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</si>
  <si>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</si>
  <si>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</si>
  <si>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</si>
  <si>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</si>
  <si>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</si>
  <si>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</si>
  <si>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</si>
  <si>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</si>
  <si>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</si>
  <si>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</si>
  <si>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</si>
  <si>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</si>
  <si>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</si>
  <si>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</si>
  <si>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</si>
  <si>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</si>
  <si>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</si>
  <si>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</si>
  <si>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</si>
  <si>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</si>
  <si>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</si>
  <si>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</si>
  <si>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</si>
  <si>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</si>
  <si>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</si>
  <si>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</si>
  <si>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</si>
  <si>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</si>
  <si>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</si>
  <si>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</si>
  <si>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</si>
  <si>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</si>
  <si>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</si>
  <si>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</si>
  <si>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</si>
  <si>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</si>
  <si>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</si>
  <si>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</si>
  <si>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</si>
  <si>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</si>
  <si>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</si>
  <si>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</si>
  <si>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</si>
  <si>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</si>
  <si>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</si>
  <si>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</si>
  <si>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</si>
  <si>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</si>
  <si>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</si>
  <si>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</si>
  <si>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</si>
  <si>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</si>
  <si>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</si>
  <si>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</si>
  <si>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</si>
  <si>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</si>
  <si>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</si>
  <si>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</si>
  <si>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</si>
  <si>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</si>
  <si>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</si>
  <si>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</si>
  <si>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</si>
  <si>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</si>
  <si>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</si>
  <si>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</si>
  <si>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</si>
  <si>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</si>
  <si>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</si>
  <si>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</si>
  <si>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</si>
  <si>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</si>
  <si>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</si>
  <si>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</si>
  <si>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</si>
  <si>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</si>
  <si>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</si>
  <si>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</si>
  <si>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</si>
  <si>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</si>
  <si>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</si>
  <si>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</si>
  <si>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</si>
  <si>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</si>
  <si>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</si>
  <si>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</si>
  <si>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</si>
  <si>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</si>
  <si>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</si>
  <si>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</si>
  <si>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</si>
  <si>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</si>
  <si>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</si>
  <si>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</si>
  <si>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</si>
  <si>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</si>
  <si>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</si>
  <si>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</si>
  <si>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</si>
  <si>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</si>
  <si>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</si>
  <si>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</si>
  <si>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</si>
  <si>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</si>
  <si>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</si>
  <si>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</si>
  <si>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</si>
  <si>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</si>
  <si>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</si>
  <si>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</si>
  <si>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</si>
  <si>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</si>
  <si>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</si>
  <si>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</si>
  <si>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</si>
  <si>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</si>
  <si>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</si>
  <si>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</si>
  <si>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</si>
  <si>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</si>
  <si>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</si>
  <si>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</si>
  <si>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</si>
  <si>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</si>
  <si>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</si>
  <si>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</si>
  <si>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</si>
  <si>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</si>
  <si>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</si>
  <si>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</si>
  <si>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</si>
  <si>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</si>
  <si>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</si>
  <si>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</si>
  <si>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</si>
  <si>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</si>
  <si>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</si>
  <si>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</si>
  <si>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</si>
  <si>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</si>
  <si>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</si>
  <si>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</si>
  <si>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</si>
  <si>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</si>
  <si>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</si>
  <si>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</si>
  <si>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</si>
  <si>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</si>
  <si>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</si>
  <si>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</si>
  <si>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</si>
  <si>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</si>
  <si>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</si>
  <si>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</si>
  <si>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</si>
  <si>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</si>
  <si>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</si>
  <si>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</si>
  <si>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</si>
  <si>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</si>
  <si>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</si>
  <si>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</si>
  <si>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</si>
  <si>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</si>
  <si>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</si>
  <si>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</si>
  <si>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</si>
  <si>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</si>
  <si>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</si>
  <si>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</si>
  <si>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</si>
  <si>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</si>
  <si>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</si>
  <si>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</si>
  <si>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</si>
  <si>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</si>
  <si>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</si>
  <si>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</si>
  <si>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</si>
  <si>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</si>
  <si>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</si>
  <si>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</si>
  <si>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</si>
  <si>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</si>
  <si>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</si>
  <si>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</si>
  <si>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</si>
  <si>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</si>
  <si>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</si>
  <si>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</si>
  <si>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</si>
  <si>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</si>
  <si>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</si>
  <si>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</si>
  <si>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</si>
  <si>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</si>
  <si>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</si>
  <si>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</si>
  <si>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</si>
  <si>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</si>
  <si>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</si>
  <si>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</si>
  <si>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</si>
  <si>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</si>
  <si>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</si>
  <si>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</si>
  <si>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</si>
  <si>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</si>
  <si>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</si>
  <si>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</si>
  <si>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</si>
  <si>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</si>
  <si>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</si>
  <si>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</si>
  <si>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</si>
  <si>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</si>
  <si>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</si>
  <si>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</si>
  <si>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</si>
  <si>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</si>
  <si>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</si>
  <si>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</si>
  <si>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</si>
  <si>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</si>
  <si>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</si>
  <si>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</si>
  <si>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</si>
  <si>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</si>
  <si>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</si>
  <si>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</si>
  <si>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</si>
  <si>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</si>
  <si>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</si>
  <si>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</si>
  <si>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</si>
  <si>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</si>
  <si>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</si>
  <si>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</si>
  <si>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</si>
  <si>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</si>
  <si>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</si>
  <si>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</si>
  <si>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</si>
  <si>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</si>
  <si>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</si>
  <si>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</si>
  <si>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</si>
  <si>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</si>
  <si>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</si>
  <si>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</si>
  <si>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</si>
  <si>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</si>
  <si>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</si>
  <si>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</si>
  <si>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</si>
  <si>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</si>
  <si>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</si>
  <si>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</si>
  <si>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</si>
  <si>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</si>
  <si>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</si>
  <si>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</si>
  <si>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</si>
  <si>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</si>
  <si>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</si>
  <si>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</si>
  <si>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</si>
  <si>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</si>
  <si>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</si>
  <si>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</si>
  <si>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</si>
  <si>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</si>
  <si>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</si>
  <si>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</si>
  <si>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</si>
  <si>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</si>
  <si>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</si>
  <si>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</si>
  <si>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</si>
  <si>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Evaluation Only. Created with Aspose.Cells for Java. Copyright 2003 - 2024 Aspose Pty Ltd.</t>
  </si>
  <si>
    <t>1013000</t>
  </si>
  <si>
    <t>K souscri, appelé versé, non amorti</t>
  </si>
  <si>
    <t>111000</t>
  </si>
  <si>
    <t>RESERVE LEGALE</t>
  </si>
  <si>
    <t>118000</t>
  </si>
  <si>
    <t>Autres Réserves</t>
  </si>
  <si>
    <t>131000</t>
  </si>
  <si>
    <t>RESULTAT NET : BENEFICE</t>
  </si>
  <si>
    <t>234000</t>
  </si>
  <si>
    <t>INSTALLATIONS TECHNIQUES</t>
  </si>
  <si>
    <t>244100</t>
  </si>
  <si>
    <t>MATERIEL DE BUREAU</t>
  </si>
  <si>
    <t>244200</t>
  </si>
  <si>
    <t>Matériel et mobilier informatique</t>
  </si>
  <si>
    <t>244400</t>
  </si>
  <si>
    <t>MOBILIER DE BUREAU</t>
  </si>
  <si>
    <t>283410</t>
  </si>
  <si>
    <t>AMORT AMENAG &amp; INST TECH SOL PROPRE</t>
  </si>
  <si>
    <t>284420</t>
  </si>
  <si>
    <t>AMORT MATERIEL INFORMAIQUE</t>
  </si>
  <si>
    <t>284440</t>
  </si>
  <si>
    <t>AMORT MOBILIER DE BUREAU</t>
  </si>
  <si>
    <t>311100</t>
  </si>
  <si>
    <t>MARCHANDISES</t>
  </si>
  <si>
    <t>401100</t>
  </si>
  <si>
    <t xml:space="preserve"> Fournisseurs</t>
  </si>
  <si>
    <t>411100</t>
  </si>
  <si>
    <t xml:space="preserve"> Clients</t>
  </si>
  <si>
    <t>422000</t>
  </si>
  <si>
    <t>PERSONNEL REMUNERATIONS DUE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</si>
  <si>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</si>
  <si>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</si>
  <si>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</si>
  <si>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</si>
  <si>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</si>
  <si>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</si>
  <si>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441000</t>
  </si>
  <si>
    <t>ETAT IMPOT SUR LES BENEFICES</t>
  </si>
  <si>
    <t>442200</t>
  </si>
  <si>
    <t>IMPOTS ET TAXES SUR LES COLLECT PUB</t>
  </si>
  <si>
    <t>443100</t>
  </si>
  <si>
    <t xml:space="preserve"> T.V.A. facturée sur ventes</t>
  </si>
  <si>
    <t>444100</t>
  </si>
  <si>
    <t xml:space="preserve"> État, T.V.A. due</t>
  </si>
  <si>
    <t>445200</t>
  </si>
  <si>
    <t xml:space="preserve"> T.V.A. récupérable sur achats</t>
  </si>
  <si>
    <t>447100</t>
  </si>
  <si>
    <t>Impôt Général sur le revenu</t>
  </si>
  <si>
    <t>447200</t>
  </si>
  <si>
    <t>IMPOT SUR SALAIRES</t>
  </si>
  <si>
    <t>447300</t>
  </si>
  <si>
    <t>Contribution nationale</t>
  </si>
  <si>
    <t>447400</t>
  </si>
  <si>
    <t xml:space="preserve"> Contribution nationale de solidari</t>
  </si>
  <si>
    <t>447800</t>
  </si>
  <si>
    <t>ETAT BRS</t>
  </si>
  <si>
    <t>462001</t>
  </si>
  <si>
    <t>MATHAR MBOUP</t>
  </si>
  <si>
    <t>462002</t>
  </si>
  <si>
    <t>OTTAVI CARLO</t>
  </si>
  <si>
    <t>521001</t>
  </si>
  <si>
    <t>521002</t>
  </si>
  <si>
    <t>BOA</t>
  </si>
  <si>
    <t>571000</t>
  </si>
  <si>
    <t>CAISSE</t>
  </si>
  <si>
    <t>585000</t>
  </si>
  <si>
    <t>VIREMENTS DE FONDS</t>
  </si>
  <si>
    <t>601100</t>
  </si>
  <si>
    <t>ACHAT DE MARCHANDISES</t>
  </si>
  <si>
    <t>603100</t>
  </si>
  <si>
    <t>VARIATION DES STOCKS DE MARCHANDISE</t>
  </si>
  <si>
    <t>605200</t>
  </si>
  <si>
    <t>Fournitures non stockab - Electrici</t>
  </si>
  <si>
    <t>605300</t>
  </si>
  <si>
    <t>Fourn non soctk. Autre énergies</t>
  </si>
  <si>
    <t>605700</t>
  </si>
  <si>
    <t>Achats d'études et presta de servic</t>
  </si>
  <si>
    <t>622000</t>
  </si>
  <si>
    <t>LOCATION ET CHARGES LOCATIVES</t>
  </si>
  <si>
    <t>622200</t>
  </si>
  <si>
    <t>Location de bâtiments</t>
  </si>
  <si>
    <t>622800</t>
  </si>
  <si>
    <t>Locations et chargs locativ diverse</t>
  </si>
  <si>
    <t>624100</t>
  </si>
  <si>
    <t>Entretien &amp; Réparation biens Immobi</t>
  </si>
  <si>
    <t>624200</t>
  </si>
  <si>
    <t>Entretien et réparat biens mobilier</t>
  </si>
  <si>
    <t>631800</t>
  </si>
  <si>
    <t>Autres frais bancaires</t>
  </si>
  <si>
    <t>637000</t>
  </si>
  <si>
    <t>RENUMERATION PERSONNEL EXTERIEUR</t>
  </si>
  <si>
    <t>641100</t>
  </si>
  <si>
    <t>IMPOT FONCIERS ET TAXES ANNEXES</t>
  </si>
  <si>
    <t>641200</t>
  </si>
  <si>
    <t>Patentes, licences et taxes annexes</t>
  </si>
  <si>
    <t>641300</t>
  </si>
  <si>
    <t>Taxes sur appointements et salaires</t>
  </si>
  <si>
    <t>6418100</t>
  </si>
  <si>
    <t>TOM 3.8%</t>
  </si>
  <si>
    <t>646000</t>
  </si>
  <si>
    <t>DROITS D'ENREGISTREMENT</t>
  </si>
  <si>
    <t>647100</t>
  </si>
  <si>
    <t>Pénaltés d'assiettes, impôt</t>
  </si>
  <si>
    <t>658800</t>
  </si>
  <si>
    <t>AUTRES CHARGES DIVERSES</t>
  </si>
  <si>
    <t>661100</t>
  </si>
  <si>
    <t>APPOINTEMENTS SALAIRES ET COMMISSIO</t>
  </si>
  <si>
    <t>662100</t>
  </si>
  <si>
    <t>Salaires personnes non national</t>
  </si>
  <si>
    <t>663800</t>
  </si>
  <si>
    <t>AUTRES IMDEMNITES ET AVANTAGES DIVE</t>
  </si>
  <si>
    <t>664100</t>
  </si>
  <si>
    <t>CHARGES SOCIALES SUR REMUNERATION D</t>
  </si>
  <si>
    <t>664200</t>
  </si>
  <si>
    <t>Charges soc sur rémun persn non nat</t>
  </si>
  <si>
    <t>681300</t>
  </si>
  <si>
    <t>DOTATION AMORTISSEMENT IMMOB CORPOR</t>
  </si>
  <si>
    <t>701100</t>
  </si>
  <si>
    <t>VENTES DE MARCHANDISES</t>
  </si>
  <si>
    <t>895000</t>
  </si>
  <si>
    <t>IMPOT MINIMUM FORFAITAIRE IMF</t>
  </si>
  <si>
    <t>444900</t>
  </si>
  <si>
    <t xml:space="preserve"> État, crédit de T.V.A. à reporter</t>
  </si>
  <si>
    <t>605000</t>
  </si>
  <si>
    <t>AUTRES ACHATS</t>
  </si>
  <si>
    <t>605800</t>
  </si>
  <si>
    <t>Achats de travaux, matériels et équ</t>
  </si>
  <si>
    <t>613000</t>
  </si>
  <si>
    <t>TRANSPORT POUR LE COMPTE DE TIERS</t>
  </si>
  <si>
    <t>627000</t>
  </si>
  <si>
    <t>PUBLICITE, PUBLICATION, RELATION PU</t>
  </si>
  <si>
    <t>646200</t>
  </si>
  <si>
    <t xml:space="preserve"> Droits de timbre</t>
  </si>
  <si>
    <t>658200</t>
  </si>
  <si>
    <t>DONS</t>
  </si>
  <si>
    <t>891000</t>
  </si>
  <si>
    <t>IMPÖT SUR LES SOCIETES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</si>
</sst>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879986047745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88000094890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30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8900003731251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sharedStrings.xml" Type="http://schemas.openxmlformats.org/officeDocument/2006/relationships/sharedStrings"/><Relationship Id="rId71" Target="../customXml/item1.xml" Type="http://schemas.openxmlformats.org/officeDocument/2006/relationships/customXml"/><Relationship Id="rId72" Target="../customXml/item2.xml" Type="http://schemas.openxmlformats.org/officeDocument/2006/relationships/customXml"/><Relationship Id="rId73" Target="../customXml/item3.xml" Type="http://schemas.openxmlformats.org/officeDocument/2006/relationships/customXml"/><Relationship Id="rId74" Target="calcChain.xml" Type="http://schemas.openxmlformats.org/officeDocument/2006/relationships/calcChain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printerSettings/printerSettings1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printerSettings/printerSettings12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2" Target="../printerSettings/printerSettings13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Relationship Id="rId2" Target="../printerSettings/printerSettings45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Relationship Id="rId2" Target="../printerSettings/printerSettings49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Relationship Id="rId2" Target="../printerSettings/printerSettings52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customWidth="true" style="61" width="4.42857142857143"/>
    <col min="2" max="2" customWidth="true" style="61" width="2.28571428571429"/>
    <col min="3" max="24" customWidth="true" style="61" width="3.42857142857143"/>
    <col min="25" max="25" customWidth="true" style="61" width="7.28571428571429"/>
    <col min="26" max="32" customWidth="true" style="61" width="3.42857142857143"/>
    <col min="33" max="33" customWidth="true" style="61" width="1.71428571428571"/>
    <col min="34" max="35" customWidth="true" style="61" width="3.42857142857143"/>
    <col min="36" max="36" customWidth="true" style="61" width="2.0"/>
    <col min="37" max="37" customWidth="true" style="61" width="5.71428571428571"/>
    <col min="38" max="38" customWidth="true" style="61" width="3.42857142857143"/>
    <col min="39" max="39" customWidth="true" style="61" width="2.28571428571429"/>
    <col min="40" max="256" customWidth="true" style="61" width="15.7142857142857"/>
    <col min="257" max="16384" style="85" width="15.7142857142857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customWidth="true" style="85" width="2.28571428571429"/>
    <col min="2" max="2" customWidth="true" style="87" width="4.42857142857143"/>
    <col min="3" max="3" customWidth="true" style="87" width="2.28571428571429"/>
    <col min="4" max="8" customWidth="true" style="87" width="3.42857142857143"/>
    <col min="9" max="9" customWidth="true" style="87" width="9.71428571428571"/>
    <col min="10" max="20" customWidth="true" style="87" width="3.42857142857143"/>
    <col min="21" max="21" customWidth="true" style="87" width="4.14285714285714"/>
    <col min="22" max="25" customWidth="true" style="87" width="3.42857142857143"/>
    <col min="26" max="26" customWidth="true" style="87" width="4.71428571428571"/>
    <col min="27" max="30" customWidth="true" style="87" width="3.42857142857143"/>
    <col min="31" max="31" customWidth="true" style="87" width="1.71428571428571"/>
    <col min="32" max="37" customWidth="true" style="87" width="3.42857142857143"/>
    <col min="38" max="38" customWidth="true" style="87" width="3.71428571428571"/>
    <col min="39" max="39" customWidth="true" style="87" width="3.42857142857143"/>
    <col min="40" max="40" customWidth="true" style="87" width="3.28571428571429"/>
    <col min="41" max="257" customWidth="true" style="87" width="15.7142857142857"/>
    <col min="258" max="16384" style="85" width="15.7142857142857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customWidth="true" style="782" width="19.8571428571429"/>
    <col min="2" max="2" bestFit="true" customWidth="true" style="782" width="39.4285714285714"/>
    <col min="3" max="3" customWidth="true" style="793" width="15.0"/>
    <col min="4" max="4" customWidth="true" style="793" width="15.5714285714286"/>
    <col min="5" max="5" customWidth="true" style="788" width="16.0"/>
    <col min="6" max="6" customWidth="true" style="788" width="16.1428571428571"/>
    <col min="7" max="7" customWidth="true" style="788" width="15.5714285714286"/>
    <col min="8" max="8" customWidth="true" style="788" width="14.7142857142857"/>
    <col min="9" max="16384" style="782" width="11.4285714285714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1538</v>
      </c>
      <c r="B2" s="783" t="s">
        <v>1539</v>
      </c>
      <c r="C2" s="784"/>
      <c r="D2" s="785" t="n">
        <v>500000.0</v>
      </c>
      <c r="E2" s="784"/>
      <c r="F2" s="784"/>
      <c r="G2" s="784"/>
      <c r="H2" s="785" t="n">
        <v>500000.0</v>
      </c>
      <c r="I2" s="805" t="str">
        <f>LEFT(A2,2)</f>
        <v/>
      </c>
      <c r="J2" s="782" t="str">
        <f>LEFT(A2,3)</f>
        <v/>
      </c>
      <c r="K2" s="782" t="str">
        <f>LEFT(A2,4)</f>
        <v/>
      </c>
      <c r="L2" s="782" t="str">
        <f>LEFT(A2,5)</f>
        <v/>
      </c>
      <c r="M2" s="782" t="str">
        <f>LEFT(A2,1)</f>
        <v/>
      </c>
    </row>
    <row r="3" spans="1:13" ht="26.4" customHeight="1">
      <c r="A3" s="783" t="s">
        <v>1540</v>
      </c>
      <c r="B3" s="783" t="s">
        <v>1541</v>
      </c>
      <c r="C3" s="784"/>
      <c r="D3" s="785" t="n">
        <v>100000.0</v>
      </c>
      <c r="E3" s="784"/>
      <c r="F3" s="785"/>
      <c r="G3" s="784"/>
      <c r="H3" s="785" t="n">
        <v>100000.0</v>
      </c>
      <c r="I3" s="806" t="str">
        <f t="shared" si="0" ref="I3:I66">LEFT(A3,2)</f>
        <v/>
      </c>
      <c r="J3" s="782" t="str">
        <f t="shared" si="1" ref="J3:J66">LEFT(A3,3)</f>
        <v/>
      </c>
      <c r="K3" s="782" t="str">
        <f t="shared" si="2" ref="K3:K66">LEFT(A3,4)</f>
        <v/>
      </c>
      <c r="L3" s="782" t="str">
        <f t="shared" si="3" ref="L3:L66">LEFT(A3,5)</f>
        <v/>
      </c>
      <c r="M3" s="782" t="str">
        <f t="shared" si="4" ref="M3:M66">LEFT(A3,1)</f>
        <v/>
      </c>
    </row>
    <row r="4" spans="1:13" ht="26.4" customHeight="1">
      <c r="A4" s="783" t="s">
        <v>1542</v>
      </c>
      <c r="B4" s="783" t="s">
        <v>1543</v>
      </c>
      <c r="C4" s="784"/>
      <c r="D4" s="785" t="n">
        <v>1.1482807E7</v>
      </c>
      <c r="E4" s="784"/>
      <c r="F4" s="785" t="n">
        <v>583865.0</v>
      </c>
      <c r="G4" s="784"/>
      <c r="H4" s="785" t="n">
        <v>1.2066672E7</v>
      </c>
      <c r="I4" s="806" t="str">
        <f t="shared" si="0"/>
        <v/>
      </c>
      <c r="J4" s="782" t="str">
        <f t="shared" si="1"/>
        <v/>
      </c>
      <c r="K4" s="782" t="str">
        <f t="shared" si="2"/>
        <v/>
      </c>
      <c r="L4" s="782" t="str">
        <f t="shared" si="3"/>
        <v/>
      </c>
      <c r="M4" s="782" t="str">
        <f t="shared" si="4"/>
        <v/>
      </c>
    </row>
    <row r="5" spans="1:13" ht="26.4" customHeight="1">
      <c r="A5" s="783" t="s">
        <v>1544</v>
      </c>
      <c r="B5" s="783" t="s">
        <v>1545</v>
      </c>
      <c r="C5" s="784"/>
      <c r="D5" s="785" t="n">
        <v>583865.0</v>
      </c>
      <c r="E5" s="785" t="n">
        <v>583865.0</v>
      </c>
      <c r="F5" s="784"/>
      <c r="G5" s="784"/>
      <c r="H5" s="784"/>
      <c r="I5" s="806" t="str">
        <f t="shared" si="0"/>
        <v/>
      </c>
      <c r="J5" s="782" t="str">
        <f t="shared" si="1"/>
        <v/>
      </c>
      <c r="K5" s="782" t="str">
        <f t="shared" si="2"/>
        <v/>
      </c>
      <c r="L5" s="782" t="str">
        <f t="shared" si="3"/>
        <v/>
      </c>
      <c r="M5" s="782" t="str">
        <f t="shared" si="4"/>
        <v/>
      </c>
    </row>
    <row r="6" spans="1:13" s="787" customFormat="1" ht="26.4" customHeight="1">
      <c r="A6" s="783" t="s">
        <v>1546</v>
      </c>
      <c r="B6" s="783" t="s">
        <v>1547</v>
      </c>
      <c r="C6" s="784" t="n">
        <v>1.60271186E8</v>
      </c>
      <c r="D6" s="785"/>
      <c r="E6" s="785"/>
      <c r="F6" s="784"/>
      <c r="G6" s="784" t="n">
        <v>1.60271186E8</v>
      </c>
      <c r="H6" s="784"/>
      <c r="I6" s="806" t="str">
        <f t="shared" si="0"/>
        <v/>
      </c>
      <c r="J6" s="782" t="str">
        <f t="shared" si="1"/>
        <v/>
      </c>
      <c r="K6" s="782" t="str">
        <f t="shared" si="2"/>
        <v/>
      </c>
      <c r="L6" s="782" t="str">
        <f t="shared" si="3"/>
        <v/>
      </c>
      <c r="M6" s="782" t="str">
        <f t="shared" si="4"/>
        <v/>
      </c>
    </row>
    <row r="7" spans="1:13" ht="26.4" customHeight="1">
      <c r="A7" s="783" t="s">
        <v>1548</v>
      </c>
      <c r="B7" s="783" t="s">
        <v>1549</v>
      </c>
      <c r="C7" s="784" t="n">
        <v>2415000.0</v>
      </c>
      <c r="D7" s="785"/>
      <c r="E7" s="785"/>
      <c r="F7" s="784"/>
      <c r="G7" s="784" t="n">
        <v>2415000.0</v>
      </c>
      <c r="H7" s="784"/>
      <c r="I7" s="806" t="str">
        <f t="shared" si="0"/>
        <v/>
      </c>
      <c r="J7" s="782" t="str">
        <f t="shared" si="1"/>
        <v/>
      </c>
      <c r="K7" s="782" t="str">
        <f t="shared" si="2"/>
        <v/>
      </c>
      <c r="L7" s="782" t="str">
        <f t="shared" si="3"/>
        <v/>
      </c>
      <c r="M7" s="782" t="str">
        <f t="shared" si="4"/>
        <v/>
      </c>
    </row>
    <row r="8" spans="1:15" ht="26.4" customHeight="1">
      <c r="A8" s="783" t="s">
        <v>1550</v>
      </c>
      <c r="B8" s="783" t="s">
        <v>1551</v>
      </c>
      <c r="C8" s="784" t="n">
        <v>1538547.0</v>
      </c>
      <c r="D8" s="785"/>
      <c r="E8" s="785"/>
      <c r="F8" s="784"/>
      <c r="G8" s="784" t="n">
        <v>1538547.0</v>
      </c>
      <c r="H8" s="784"/>
      <c r="I8" s="806" t="str">
        <f t="shared" si="0"/>
        <v/>
      </c>
      <c r="J8" s="782" t="str">
        <f t="shared" si="1"/>
        <v/>
      </c>
      <c r="K8" s="782" t="str">
        <f t="shared" si="2"/>
        <v/>
      </c>
      <c r="L8" s="782" t="str">
        <f t="shared" si="3"/>
        <v/>
      </c>
      <c r="M8" s="782" t="str">
        <f t="shared" si="4"/>
        <v/>
      </c>
      <c r="O8" s="788"/>
    </row>
    <row r="9" spans="1:13" ht="26.4" customHeight="1">
      <c r="A9" s="783" t="s">
        <v>1552</v>
      </c>
      <c r="B9" s="783" t="s">
        <v>1553</v>
      </c>
      <c r="C9" s="784" t="n">
        <v>3601695.0</v>
      </c>
      <c r="D9" s="785"/>
      <c r="E9" s="785"/>
      <c r="F9" s="784"/>
      <c r="G9" s="784" t="n">
        <v>3601695.0</v>
      </c>
      <c r="H9" s="784"/>
      <c r="I9" s="806" t="str">
        <f t="shared" si="0"/>
        <v/>
      </c>
      <c r="J9" s="782" t="str">
        <f t="shared" si="1"/>
        <v/>
      </c>
      <c r="K9" s="782" t="str">
        <f t="shared" si="2"/>
        <v/>
      </c>
      <c r="L9" s="782" t="str">
        <f t="shared" si="3"/>
        <v/>
      </c>
      <c r="M9" s="782" t="str">
        <f t="shared" si="4"/>
        <v/>
      </c>
    </row>
    <row r="10" spans="1:13" s="787" customFormat="1" ht="26.4" customHeight="1">
      <c r="A10" s="783" t="s">
        <v>1554</v>
      </c>
      <c r="B10" s="783" t="s">
        <v>1555</v>
      </c>
      <c r="C10" s="785"/>
      <c r="D10" s="784" t="n">
        <v>1.23093728E8</v>
      </c>
      <c r="E10" s="785"/>
      <c r="F10" s="784" t="n">
        <v>3.3317458E7</v>
      </c>
      <c r="G10" s="785"/>
      <c r="H10" s="784" t="n">
        <v>1.56411186E8</v>
      </c>
      <c r="I10" s="806" t="str">
        <f t="shared" si="0"/>
        <v/>
      </c>
      <c r="J10" s="782" t="str">
        <f t="shared" si="1"/>
        <v/>
      </c>
      <c r="K10" s="782" t="str">
        <f t="shared" si="2"/>
        <v/>
      </c>
      <c r="L10" s="782" t="str">
        <f t="shared" si="3"/>
        <v/>
      </c>
      <c r="M10" s="782" t="str">
        <f t="shared" si="4"/>
        <v/>
      </c>
    </row>
    <row r="11" spans="1:13" ht="26.4" customHeight="1">
      <c r="A11" s="783" t="s">
        <v>1556</v>
      </c>
      <c r="B11" s="783" t="s">
        <v>1557</v>
      </c>
      <c r="C11" s="785"/>
      <c r="D11" s="784" t="n">
        <v>928070.0</v>
      </c>
      <c r="E11" s="785"/>
      <c r="F11" s="784" t="n">
        <v>395608.0</v>
      </c>
      <c r="G11" s="785"/>
      <c r="H11" s="784" t="n">
        <v>1323678.0</v>
      </c>
      <c r="I11" s="806" t="str">
        <f t="shared" si="0"/>
        <v/>
      </c>
      <c r="J11" s="782" t="str">
        <f t="shared" si="1"/>
        <v/>
      </c>
      <c r="K11" s="782" t="str">
        <f t="shared" si="2"/>
        <v/>
      </c>
      <c r="L11" s="782" t="str">
        <f t="shared" si="3"/>
        <v/>
      </c>
      <c r="M11" s="782" t="str">
        <f t="shared" si="4"/>
        <v/>
      </c>
    </row>
    <row r="12" spans="1:13" ht="26.4" customHeight="1">
      <c r="A12" s="783" t="s">
        <v>1558</v>
      </c>
      <c r="B12" s="783" t="s">
        <v>1559</v>
      </c>
      <c r="C12" s="785"/>
      <c r="D12" s="784" t="n">
        <v>3054906.0</v>
      </c>
      <c r="E12" s="784"/>
      <c r="F12" s="784" t="n">
        <v>1320594.0</v>
      </c>
      <c r="G12" s="785"/>
      <c r="H12" s="784" t="n">
        <v>4375500.0</v>
      </c>
      <c r="I12" s="806" t="str">
        <f t="shared" si="0"/>
        <v/>
      </c>
      <c r="J12" s="782" t="str">
        <f t="shared" si="1"/>
        <v/>
      </c>
      <c r="K12" s="782" t="str">
        <f t="shared" si="2"/>
        <v/>
      </c>
      <c r="L12" s="782" t="str">
        <f t="shared" si="3"/>
        <v/>
      </c>
      <c r="M12" s="782" t="str">
        <f t="shared" si="4"/>
        <v/>
      </c>
    </row>
    <row r="13" spans="1:13" ht="26.4" customHeight="1">
      <c r="A13" s="783" t="s">
        <v>1560</v>
      </c>
      <c r="B13" s="783" t="s">
        <v>1561</v>
      </c>
      <c r="C13" s="785" t="n">
        <v>2500000.0</v>
      </c>
      <c r="D13" s="784"/>
      <c r="E13" s="784" t="n">
        <v>2980700.0</v>
      </c>
      <c r="F13" s="784" t="n">
        <v>2500000.0</v>
      </c>
      <c r="G13" s="785" t="n">
        <v>2980700.0</v>
      </c>
      <c r="H13" s="784"/>
      <c r="I13" s="806" t="str">
        <f t="shared" si="0"/>
        <v/>
      </c>
      <c r="J13" s="782" t="str">
        <f t="shared" si="1"/>
        <v/>
      </c>
      <c r="K13" s="782" t="str">
        <f t="shared" si="2"/>
        <v/>
      </c>
      <c r="L13" s="782" t="str">
        <f t="shared" si="3"/>
        <v/>
      </c>
      <c r="M13" s="782" t="str">
        <f t="shared" si="4"/>
        <v/>
      </c>
    </row>
    <row r="14" spans="1:13" s="787" customFormat="1" ht="26.4" customHeight="1">
      <c r="A14" s="783" t="s">
        <v>1562</v>
      </c>
      <c r="B14" s="783" t="s">
        <v>1563</v>
      </c>
      <c r="C14" s="785"/>
      <c r="D14" s="784" t="n">
        <v>1.1377437E7</v>
      </c>
      <c r="E14" s="784" t="n">
        <v>1.07400631E8</v>
      </c>
      <c r="F14" s="784" t="n">
        <v>1.04261071E8</v>
      </c>
      <c r="G14" s="785"/>
      <c r="H14" s="784" t="n">
        <v>8237877.0</v>
      </c>
      <c r="I14" s="806" t="str">
        <f t="shared" si="0"/>
        <v/>
      </c>
      <c r="J14" s="782" t="str">
        <f t="shared" si="1"/>
        <v/>
      </c>
      <c r="K14" s="782" t="str">
        <f t="shared" si="2"/>
        <v/>
      </c>
      <c r="L14" s="782" t="str">
        <f t="shared" si="3"/>
        <v/>
      </c>
      <c r="M14" s="782" t="str">
        <f t="shared" si="4"/>
        <v/>
      </c>
    </row>
    <row r="15" spans="1:13" s="787" customFormat="1" ht="26.4" customHeight="1">
      <c r="A15" s="783" t="s">
        <v>1564</v>
      </c>
      <c r="B15" s="783" t="s">
        <v>1565</v>
      </c>
      <c r="C15" s="785"/>
      <c r="D15" s="784"/>
      <c r="E15" s="784" t="n">
        <v>1.47229638E8</v>
      </c>
      <c r="F15" s="784" t="n">
        <v>1.47229638E8</v>
      </c>
      <c r="G15" s="785"/>
      <c r="H15" s="784"/>
      <c r="I15" s="806" t="str">
        <f t="shared" si="0"/>
        <v/>
      </c>
      <c r="J15" s="782" t="str">
        <f t="shared" si="1"/>
        <v/>
      </c>
      <c r="K15" s="782" t="str">
        <f t="shared" si="2"/>
        <v/>
      </c>
      <c r="L15" s="782" t="str">
        <f t="shared" si="3"/>
        <v/>
      </c>
      <c r="M15" s="782" t="str">
        <f t="shared" si="4"/>
        <v/>
      </c>
    </row>
    <row r="16" spans="1:13" s="787" customFormat="1" ht="26.4" customHeight="1">
      <c r="A16" s="783" t="s">
        <v>1566</v>
      </c>
      <c r="B16" s="783" t="s">
        <v>1567</v>
      </c>
      <c r="C16" s="785"/>
      <c r="D16" s="784" t="n">
        <v>980000.0</v>
      </c>
      <c r="E16" s="784" t="n">
        <v>1.016E7</v>
      </c>
      <c r="F16" s="784" t="n">
        <v>9960000.0</v>
      </c>
      <c r="G16" s="785"/>
      <c r="H16" s="784" t="n">
        <v>780000.0</v>
      </c>
      <c r="I16" s="806" t="str">
        <f t="shared" si="0"/>
        <v/>
      </c>
      <c r="J16" s="782" t="str">
        <f t="shared" si="1"/>
        <v/>
      </c>
      <c r="K16" s="782" t="str">
        <f t="shared" si="2"/>
        <v/>
      </c>
      <c r="L16" s="782" t="str">
        <f t="shared" si="3"/>
        <v/>
      </c>
      <c r="M16" s="782" t="str">
        <f t="shared" si="4"/>
        <v/>
      </c>
    </row>
    <row r="17" spans="1:13" s="787" customFormat="1" ht="26.4" customHeight="1">
      <c r="A17" s="783" t="s">
        <v>1568</v>
      </c>
      <c r="B17" s="783" t="s">
        <v>1569</v>
      </c>
      <c r="C17" s="785"/>
      <c r="D17" s="784" t="n">
        <v>61740.0</v>
      </c>
      <c r="E17" s="785"/>
      <c r="F17" s="784" t="n">
        <v>224910.0</v>
      </c>
      <c r="G17" s="785"/>
      <c r="H17" s="784" t="n">
        <v>286650.0</v>
      </c>
      <c r="I17" s="806" t="str">
        <f t="shared" si="0"/>
        <v/>
      </c>
      <c r="J17" s="782" t="str">
        <f t="shared" si="1"/>
        <v/>
      </c>
      <c r="K17" s="782" t="str">
        <f t="shared" si="2"/>
        <v/>
      </c>
      <c r="L17" s="782" t="str">
        <f t="shared" si="3"/>
        <v/>
      </c>
      <c r="M17" s="782" t="str">
        <f t="shared" si="4"/>
        <v/>
      </c>
    </row>
    <row r="18" spans="1:13" s="787" customFormat="1" ht="26.4" customHeight="1">
      <c r="A18" s="783" t="s">
        <v>1570</v>
      </c>
      <c r="B18" s="783" t="s">
        <v>1571</v>
      </c>
      <c r="C18" s="785"/>
      <c r="D18" s="784" t="n">
        <v>27720.0</v>
      </c>
      <c r="E18" s="785"/>
      <c r="F18" s="784" t="n">
        <v>96390.0</v>
      </c>
      <c r="G18" s="785"/>
      <c r="H18" s="784" t="n">
        <v>124110.0</v>
      </c>
      <c r="I18" s="806" t="str">
        <f t="shared" si="0"/>
        <v/>
      </c>
      <c r="J18" s="782" t="str">
        <f t="shared" si="1"/>
        <v/>
      </c>
      <c r="K18" s="782" t="str">
        <f t="shared" si="2"/>
        <v/>
      </c>
      <c r="L18" s="782" t="str">
        <f t="shared" si="3"/>
        <v/>
      </c>
      <c r="M18" s="782" t="str">
        <f t="shared" si="4"/>
        <v/>
      </c>
    </row>
    <row r="19" spans="1:13" ht="26.4" customHeight="1">
      <c r="A19" s="783" t="s">
        <v>1572</v>
      </c>
      <c r="B19" s="783" t="s">
        <v>1573</v>
      </c>
      <c r="C19" s="785"/>
      <c r="D19" s="784" t="n">
        <v>419953.0</v>
      </c>
      <c r="E19" s="785"/>
      <c r="F19" s="784" t="n">
        <v>1493616.0</v>
      </c>
      <c r="G19" s="785"/>
      <c r="H19" s="784" t="n">
        <v>1913569.0</v>
      </c>
      <c r="I19" s="806" t="str">
        <f t="shared" si="0"/>
        <v/>
      </c>
      <c r="J19" s="782" t="str">
        <f t="shared" si="1"/>
        <v/>
      </c>
      <c r="K19" s="782" t="str">
        <f t="shared" si="2"/>
        <v/>
      </c>
      <c r="L19" s="782" t="str">
        <f t="shared" si="3"/>
        <v/>
      </c>
      <c r="M19" s="782" t="str">
        <f t="shared" si="4"/>
        <v/>
      </c>
    </row>
    <row r="20" spans="1:13" ht="26.4" customHeight="1">
      <c r="A20" s="783" t="s">
        <v>1574</v>
      </c>
      <c r="B20" s="783" t="s">
        <v>1575</v>
      </c>
      <c r="C20" s="785"/>
      <c r="D20" s="784" t="n">
        <v>5463975.0</v>
      </c>
      <c r="E20" s="784"/>
      <c r="F20" s="784" t="n">
        <v>623854.0</v>
      </c>
      <c r="G20" s="785"/>
      <c r="H20" s="784" t="n">
        <v>6087829.0</v>
      </c>
      <c r="I20" s="806" t="str">
        <f t="shared" si="0"/>
        <v/>
      </c>
      <c r="J20" s="782" t="str">
        <f t="shared" si="1"/>
        <v/>
      </c>
      <c r="K20" s="782" t="str">
        <f t="shared" si="2"/>
        <v/>
      </c>
      <c r="L20" s="782" t="str">
        <f t="shared" si="3"/>
        <v/>
      </c>
      <c r="M20" s="782" t="str">
        <f t="shared" si="4"/>
        <v/>
      </c>
    </row>
    <row r="21" spans="1:13" ht="26.4" customHeight="1">
      <c r="A21" s="783" t="s">
        <v>1576</v>
      </c>
      <c r="B21" s="783" t="s">
        <v>1577</v>
      </c>
      <c r="C21" s="784"/>
      <c r="D21" s="784" t="n">
        <v>3713622.0</v>
      </c>
      <c r="E21" s="785"/>
      <c r="F21" s="784" t="n">
        <v>1575000.0</v>
      </c>
      <c r="G21" s="785"/>
      <c r="H21" s="784" t="n">
        <v>5288622.0</v>
      </c>
      <c r="I21" s="806" t="str">
        <f t="shared" si="0"/>
        <v/>
      </c>
      <c r="J21" s="782" t="str">
        <f t="shared" si="1"/>
        <v/>
      </c>
      <c r="K21" s="782" t="str">
        <f t="shared" si="2"/>
        <v/>
      </c>
      <c r="L21" s="782" t="str">
        <f t="shared" si="3"/>
        <v/>
      </c>
      <c r="M21" s="782" t="str">
        <f t="shared" si="4"/>
        <v/>
      </c>
    </row>
    <row r="22" spans="1:13" ht="26.4" customHeight="1">
      <c r="A22" s="783" t="s">
        <v>1578</v>
      </c>
      <c r="B22" s="783" t="s">
        <v>1579</v>
      </c>
      <c r="C22" s="785"/>
      <c r="D22" s="784"/>
      <c r="E22" s="785" t="n">
        <v>2.2458759E7</v>
      </c>
      <c r="F22" s="784" t="n">
        <v>2.2458759E7</v>
      </c>
      <c r="G22" s="785"/>
      <c r="H22" s="784"/>
      <c r="I22" s="806" t="str">
        <f t="shared" si="0"/>
        <v/>
      </c>
      <c r="J22" s="782" t="str">
        <f t="shared" si="1"/>
        <v/>
      </c>
      <c r="K22" s="782" t="str">
        <f t="shared" si="2"/>
        <v/>
      </c>
      <c r="L22" s="782" t="str">
        <f t="shared" si="3"/>
        <v/>
      </c>
      <c r="M22" s="782" t="str">
        <f t="shared" si="4"/>
        <v/>
      </c>
    </row>
    <row r="23" spans="1:13" ht="26.4" customHeight="1">
      <c r="A23" s="783" t="s">
        <v>1580</v>
      </c>
      <c r="B23" s="783" t="s">
        <v>1581</v>
      </c>
      <c r="C23" s="785"/>
      <c r="D23" s="784" t="n">
        <v>3083795.0</v>
      </c>
      <c r="E23" s="784" t="n">
        <v>1.0754807E7</v>
      </c>
      <c r="F23" s="784" t="n">
        <v>8964438.0</v>
      </c>
      <c r="G23" s="785"/>
      <c r="H23" s="784" t="n">
        <v>1293426.0</v>
      </c>
      <c r="I23" s="806" t="str">
        <f t="shared" si="0"/>
        <v/>
      </c>
      <c r="J23" s="782" t="str">
        <f t="shared" si="1"/>
        <v/>
      </c>
      <c r="K23" s="782" t="str">
        <f t="shared" si="2"/>
        <v/>
      </c>
      <c r="L23" s="782" t="str">
        <f t="shared" si="3"/>
        <v/>
      </c>
      <c r="M23" s="782" t="str">
        <f t="shared" si="4"/>
        <v/>
      </c>
    </row>
    <row r="24" spans="1:13" ht="26.4" customHeight="1">
      <c r="A24" s="783" t="s">
        <v>1582</v>
      </c>
      <c r="B24" s="783" t="s">
        <v>1583</v>
      </c>
      <c r="C24" s="785"/>
      <c r="D24" s="784"/>
      <c r="E24" s="785" t="n">
        <v>1.3522401E7</v>
      </c>
      <c r="F24" s="784" t="n">
        <v>1.3522401E7</v>
      </c>
      <c r="G24" s="785"/>
      <c r="H24" s="784"/>
      <c r="I24" s="806" t="str">
        <f t="shared" si="0"/>
        <v/>
      </c>
      <c r="J24" s="782" t="str">
        <f t="shared" si="1"/>
        <v/>
      </c>
      <c r="K24" s="782" t="str">
        <f t="shared" si="2"/>
        <v/>
      </c>
      <c r="L24" s="782" t="str">
        <f t="shared" si="3"/>
        <v/>
      </c>
      <c r="M24" s="782" t="str">
        <f t="shared" si="4"/>
        <v/>
      </c>
    </row>
    <row r="25" spans="1:13" ht="26.4" customHeight="1">
      <c r="A25" s="783" t="s">
        <v>1584</v>
      </c>
      <c r="B25" s="783" t="s">
        <v>1585</v>
      </c>
      <c r="C25" s="784"/>
      <c r="D25" s="784" t="n">
        <v>20150.0</v>
      </c>
      <c r="E25" s="785" t="n">
        <v>449500.0</v>
      </c>
      <c r="F25" s="785" t="n">
        <v>500500.0</v>
      </c>
      <c r="G25" s="785"/>
      <c r="H25" s="784" t="n">
        <v>71150.0</v>
      </c>
      <c r="I25" s="806" t="str">
        <f t="shared" si="0"/>
        <v/>
      </c>
      <c r="J25" s="782" t="str">
        <f t="shared" si="1"/>
        <v/>
      </c>
      <c r="K25" s="782" t="str">
        <f t="shared" si="2"/>
        <v/>
      </c>
      <c r="L25" s="782" t="str">
        <f t="shared" si="3"/>
        <v/>
      </c>
      <c r="M25" s="782" t="str">
        <f t="shared" si="4"/>
        <v/>
      </c>
    </row>
    <row r="26" spans="1:13" ht="26.4" customHeight="1">
      <c r="A26" s="783" t="s">
        <v>1586</v>
      </c>
      <c r="B26" s="783" t="s">
        <v>1587</v>
      </c>
      <c r="C26" s="784" t="n">
        <v>4498.0</v>
      </c>
      <c r="D26" s="784"/>
      <c r="E26" s="785" t="n">
        <v>1605500.0</v>
      </c>
      <c r="F26" s="784" t="n">
        <v>1125900.0</v>
      </c>
      <c r="G26" s="785" t="n">
        <v>484098.0</v>
      </c>
      <c r="H26" s="784"/>
      <c r="I26" s="806" t="str">
        <f t="shared" si="0"/>
        <v/>
      </c>
      <c r="J26" s="782" t="str">
        <f t="shared" si="1"/>
        <v/>
      </c>
      <c r="K26" s="782" t="str">
        <f t="shared" si="2"/>
        <v/>
      </c>
      <c r="L26" s="782" t="str">
        <f t="shared" si="3"/>
        <v/>
      </c>
      <c r="M26" s="782" t="str">
        <f t="shared" si="4"/>
        <v/>
      </c>
    </row>
    <row r="27" spans="1:13" ht="26.4" customHeight="1">
      <c r="A27" s="783" t="s">
        <v>1588</v>
      </c>
      <c r="B27" s="783" t="s">
        <v>1589</v>
      </c>
      <c r="C27" s="785"/>
      <c r="D27" s="784" t="n">
        <v>4000.0</v>
      </c>
      <c r="E27" s="784" t="n">
        <v>32500.0</v>
      </c>
      <c r="F27" s="784" t="n">
        <v>24300.0</v>
      </c>
      <c r="G27" s="785" t="n">
        <v>4200.0</v>
      </c>
      <c r="H27" s="784"/>
      <c r="I27" s="806" t="str">
        <f t="shared" si="0"/>
        <v/>
      </c>
      <c r="J27" s="782" t="str">
        <f t="shared" si="1"/>
        <v/>
      </c>
      <c r="K27" s="782" t="str">
        <f t="shared" si="2"/>
        <v/>
      </c>
      <c r="L27" s="782" t="str">
        <f t="shared" si="3"/>
        <v/>
      </c>
      <c r="M27" s="782" t="str">
        <f t="shared" si="4"/>
        <v/>
      </c>
    </row>
    <row r="28" spans="1:13" ht="26.4" customHeight="1">
      <c r="A28" s="783" t="s">
        <v>1590</v>
      </c>
      <c r="B28" s="783" t="s">
        <v>1591</v>
      </c>
      <c r="C28" s="785"/>
      <c r="D28" s="784" t="n">
        <v>52807.0</v>
      </c>
      <c r="E28" s="784" t="n">
        <v>411112.0</v>
      </c>
      <c r="F28" s="784" t="n">
        <v>320073.0</v>
      </c>
      <c r="G28" s="785" t="n">
        <v>38232.0</v>
      </c>
      <c r="H28" s="784"/>
      <c r="I28" s="806" t="str">
        <f t="shared" si="0"/>
        <v/>
      </c>
      <c r="J28" s="782" t="str">
        <f t="shared" si="1"/>
        <v/>
      </c>
      <c r="K28" s="782" t="str">
        <f t="shared" si="2"/>
        <v/>
      </c>
      <c r="L28" s="782" t="str">
        <f t="shared" si="3"/>
        <v/>
      </c>
      <c r="M28" s="782" t="str">
        <f t="shared" si="4"/>
        <v/>
      </c>
    </row>
    <row r="29" spans="1:13" ht="26.4" customHeight="1">
      <c r="A29" s="783" t="s">
        <v>1592</v>
      </c>
      <c r="B29" s="783" t="s">
        <v>1593</v>
      </c>
      <c r="C29" s="784"/>
      <c r="D29" s="785"/>
      <c r="E29" s="784" t="n">
        <v>1575000.0</v>
      </c>
      <c r="F29" s="785" t="n">
        <v>1575000.0</v>
      </c>
      <c r="G29" s="784"/>
      <c r="H29" s="785"/>
      <c r="I29" s="806" t="str">
        <f t="shared" si="0"/>
        <v/>
      </c>
      <c r="J29" s="782" t="str">
        <f t="shared" si="1"/>
        <v/>
      </c>
      <c r="K29" s="782" t="str">
        <f t="shared" si="2"/>
        <v/>
      </c>
      <c r="L29" s="782" t="str">
        <f t="shared" si="3"/>
        <v/>
      </c>
      <c r="M29" s="782" t="str">
        <f t="shared" si="4"/>
        <v/>
      </c>
    </row>
    <row r="30" spans="1:13" ht="26.4" customHeight="1">
      <c r="A30" s="783" t="s">
        <v>1594</v>
      </c>
      <c r="B30" s="783" t="s">
        <v>1595</v>
      </c>
      <c r="C30" s="784"/>
      <c r="D30" s="785" t="n">
        <v>4500000.0</v>
      </c>
      <c r="E30" s="784" t="n">
        <v>2500000.0</v>
      </c>
      <c r="F30" s="785"/>
      <c r="G30" s="784"/>
      <c r="H30" s="785" t="n">
        <v>2000000.0</v>
      </c>
      <c r="I30" s="806" t="str">
        <f t="shared" si="0"/>
        <v/>
      </c>
      <c r="J30" s="782" t="str">
        <f t="shared" si="1"/>
        <v/>
      </c>
      <c r="K30" s="782" t="str">
        <f t="shared" si="2"/>
        <v/>
      </c>
      <c r="L30" s="782" t="str">
        <f t="shared" si="3"/>
        <v/>
      </c>
      <c r="M30" s="782" t="str">
        <f t="shared" si="4"/>
        <v/>
      </c>
    </row>
    <row r="31" spans="1:13" ht="26.4" customHeight="1">
      <c r="A31" s="783" t="s">
        <v>1596</v>
      </c>
      <c r="B31" s="783" t="s">
        <v>1597</v>
      </c>
      <c r="C31" s="784"/>
      <c r="D31" s="784" t="n">
        <v>1.062433E7</v>
      </c>
      <c r="E31" s="784" t="n">
        <v>5000000.0</v>
      </c>
      <c r="F31" s="785"/>
      <c r="G31" s="784"/>
      <c r="H31" s="785" t="n">
        <v>5624330.0</v>
      </c>
      <c r="I31" s="806" t="str">
        <f t="shared" si="0"/>
        <v/>
      </c>
      <c r="J31" s="782" t="str">
        <f t="shared" si="1"/>
        <v/>
      </c>
      <c r="K31" s="782" t="str">
        <f t="shared" si="2"/>
        <v/>
      </c>
      <c r="L31" s="782" t="str">
        <f t="shared" si="3"/>
        <v/>
      </c>
      <c r="M31" s="782" t="str">
        <f t="shared" si="4"/>
        <v/>
      </c>
    </row>
    <row r="32" spans="1:13" ht="26.4" customHeight="1">
      <c r="A32" s="783" t="s">
        <v>1598</v>
      </c>
      <c r="B32" s="783" t="s">
        <v>1517</v>
      </c>
      <c r="C32" s="784" t="n">
        <v>255614.0</v>
      </c>
      <c r="D32" s="785"/>
      <c r="E32" s="784" t="n">
        <v>7.3657643E7</v>
      </c>
      <c r="F32" s="785" t="n">
        <v>6.9967213E7</v>
      </c>
      <c r="G32" s="784" t="n">
        <v>3946044.0</v>
      </c>
      <c r="H32" s="785"/>
      <c r="I32" s="806" t="str">
        <f t="shared" si="0"/>
        <v/>
      </c>
      <c r="J32" s="782" t="str">
        <f t="shared" si="1"/>
        <v/>
      </c>
      <c r="K32" s="782" t="str">
        <f t="shared" si="2"/>
        <v/>
      </c>
      <c r="L32" s="782" t="str">
        <f t="shared" si="3"/>
        <v/>
      </c>
      <c r="M32" s="782" t="str">
        <f t="shared" si="4"/>
        <v/>
      </c>
    </row>
    <row r="33" spans="1:13" ht="26.4" customHeight="1">
      <c r="A33" s="783" t="s">
        <v>1599</v>
      </c>
      <c r="B33" s="783" t="s">
        <v>1600</v>
      </c>
      <c r="C33" s="784" t="n">
        <v>4455707.0</v>
      </c>
      <c r="D33" s="785"/>
      <c r="E33" s="784" t="n">
        <v>2.6035783E7</v>
      </c>
      <c r="F33" s="785" t="n">
        <v>2.8421751E7</v>
      </c>
      <c r="G33" s="784" t="n">
        <v>2069739.0</v>
      </c>
      <c r="H33" s="785"/>
      <c r="I33" s="806" t="str">
        <f t="shared" si="0"/>
        <v/>
      </c>
      <c r="J33" s="782" t="str">
        <f t="shared" si="1"/>
        <v/>
      </c>
      <c r="K33" s="782" t="str">
        <f t="shared" si="2"/>
        <v/>
      </c>
      <c r="L33" s="782" t="str">
        <f t="shared" si="3"/>
        <v/>
      </c>
      <c r="M33" s="782" t="str">
        <f t="shared" si="4"/>
        <v/>
      </c>
    </row>
    <row r="34" spans="1:13" ht="26.4" customHeight="1">
      <c r="A34" s="783" t="s">
        <v>1601</v>
      </c>
      <c r="B34" s="783" t="s">
        <v>1602</v>
      </c>
      <c r="C34" s="784" t="n">
        <v>5030658.0</v>
      </c>
      <c r="D34" s="785"/>
      <c r="E34" s="784" t="n">
        <v>5.2397912E7</v>
      </c>
      <c r="F34" s="785" t="n">
        <v>4.9362829E7</v>
      </c>
      <c r="G34" s="784" t="n">
        <v>8065741.0</v>
      </c>
      <c r="H34" s="785"/>
      <c r="I34" s="806" t="str">
        <f t="shared" si="0"/>
        <v/>
      </c>
      <c r="J34" s="782" t="str">
        <f t="shared" si="1"/>
        <v/>
      </c>
      <c r="K34" s="782" t="str">
        <f t="shared" si="2"/>
        <v/>
      </c>
      <c r="L34" s="782" t="str">
        <f t="shared" si="3"/>
        <v/>
      </c>
      <c r="M34" s="782" t="str">
        <f t="shared" si="4"/>
        <v/>
      </c>
    </row>
    <row r="35" spans="1:13" s="787" customFormat="1" ht="26.4" customHeight="1">
      <c r="A35" s="783" t="s">
        <v>1603</v>
      </c>
      <c r="B35" s="783" t="s">
        <v>1604</v>
      </c>
      <c r="C35" s="784"/>
      <c r="D35" s="785"/>
      <c r="E35" s="784" t="n">
        <v>4850000.0</v>
      </c>
      <c r="F35" s="785" t="n">
        <v>4850000.0</v>
      </c>
      <c r="G35" s="784"/>
      <c r="H35" s="785"/>
      <c r="I35" s="806" t="str">
        <f t="shared" si="0"/>
        <v/>
      </c>
      <c r="J35" s="782" t="str">
        <f t="shared" si="1"/>
        <v/>
      </c>
      <c r="K35" s="782" t="str">
        <f t="shared" si="2"/>
        <v/>
      </c>
      <c r="L35" s="782" t="str">
        <f t="shared" si="3"/>
        <v/>
      </c>
      <c r="M35" s="782" t="str">
        <f t="shared" si="4"/>
        <v/>
      </c>
    </row>
    <row r="36" spans="1:13" ht="26.4" customHeight="1">
      <c r="A36" s="783" t="s">
        <v>1605</v>
      </c>
      <c r="B36" s="783" t="s">
        <v>1606</v>
      </c>
      <c r="C36" s="784"/>
      <c r="D36" s="785"/>
      <c r="E36" s="784" t="n">
        <v>5.4529241E7</v>
      </c>
      <c r="F36" s="785" t="n">
        <v>155999.0</v>
      </c>
      <c r="G36" s="784" t="n">
        <v>5.4373242E7</v>
      </c>
      <c r="H36" s="785"/>
      <c r="I36" s="806" t="str">
        <f t="shared" si="0"/>
        <v/>
      </c>
      <c r="J36" s="782" t="str">
        <f t="shared" si="1"/>
        <v/>
      </c>
      <c r="K36" s="782" t="str">
        <f t="shared" si="2"/>
        <v/>
      </c>
      <c r="L36" s="782" t="str">
        <f t="shared" si="3"/>
        <v/>
      </c>
      <c r="M36" s="782" t="str">
        <f t="shared" si="4"/>
        <v/>
      </c>
    </row>
    <row r="37" spans="1:13" ht="26.4" customHeight="1">
      <c r="A37" s="783" t="s">
        <v>1607</v>
      </c>
      <c r="B37" s="783" t="s">
        <v>1608</v>
      </c>
      <c r="C37" s="784"/>
      <c r="D37" s="785"/>
      <c r="E37" s="784" t="n">
        <v>2500000.0</v>
      </c>
      <c r="F37" s="785" t="n">
        <v>2980700.0</v>
      </c>
      <c r="G37" s="784"/>
      <c r="H37" s="785" t="n">
        <v>480700.0</v>
      </c>
      <c r="I37" s="806" t="str">
        <f t="shared" si="0"/>
        <v/>
      </c>
      <c r="J37" s="782" t="str">
        <f t="shared" si="1"/>
        <v/>
      </c>
      <c r="K37" s="782" t="str">
        <f t="shared" si="2"/>
        <v/>
      </c>
      <c r="L37" s="782" t="str">
        <f t="shared" si="3"/>
        <v/>
      </c>
      <c r="M37" s="782" t="str">
        <f t="shared" si="4"/>
        <v/>
      </c>
    </row>
    <row r="38" spans="1:13" ht="26.4" customHeight="1">
      <c r="A38" s="783" t="s">
        <v>1609</v>
      </c>
      <c r="B38" s="783" t="s">
        <v>1610</v>
      </c>
      <c r="C38" s="784"/>
      <c r="D38" s="785"/>
      <c r="E38" s="784" t="n">
        <v>5157737.0</v>
      </c>
      <c r="F38" s="785"/>
      <c r="G38" s="784" t="n">
        <v>5157737.0</v>
      </c>
      <c r="H38" s="785"/>
      <c r="I38" s="806" t="str">
        <f t="shared" si="0"/>
        <v/>
      </c>
      <c r="J38" s="782" t="str">
        <f t="shared" si="1"/>
        <v/>
      </c>
      <c r="K38" s="782" t="str">
        <f t="shared" si="2"/>
        <v/>
      </c>
      <c r="L38" s="782" t="str">
        <f t="shared" si="3"/>
        <v/>
      </c>
      <c r="M38" s="782" t="str">
        <f t="shared" si="4"/>
        <v/>
      </c>
    </row>
    <row r="39" spans="1:13" ht="26.4" customHeight="1">
      <c r="A39" s="783" t="s">
        <v>1611</v>
      </c>
      <c r="B39" s="783" t="s">
        <v>1612</v>
      </c>
      <c r="C39" s="785"/>
      <c r="D39" s="784"/>
      <c r="E39" s="785" t="n">
        <v>574500.0</v>
      </c>
      <c r="F39" s="785"/>
      <c r="G39" s="785" t="n">
        <v>574500.0</v>
      </c>
      <c r="H39" s="784"/>
      <c r="I39" s="806" t="str">
        <f t="shared" si="0"/>
        <v/>
      </c>
      <c r="J39" s="782" t="str">
        <f t="shared" si="1"/>
        <v/>
      </c>
      <c r="K39" s="782" t="str">
        <f t="shared" si="2"/>
        <v/>
      </c>
      <c r="L39" s="782" t="str">
        <f t="shared" si="3"/>
        <v/>
      </c>
      <c r="M39" s="782" t="str">
        <f t="shared" si="4"/>
        <v/>
      </c>
    </row>
    <row r="40" spans="1:13" ht="26.4" customHeight="1">
      <c r="A40" s="783" t="s">
        <v>1613</v>
      </c>
      <c r="B40" s="783" t="s">
        <v>1614</v>
      </c>
      <c r="C40" s="784"/>
      <c r="D40" s="784"/>
      <c r="E40" s="785" t="n">
        <v>4900000.0</v>
      </c>
      <c r="F40" s="785"/>
      <c r="G40" s="784" t="n">
        <v>4900000.0</v>
      </c>
      <c r="H40" s="785"/>
      <c r="I40" s="806" t="str">
        <f t="shared" si="0"/>
        <v/>
      </c>
      <c r="J40" s="782" t="str">
        <f t="shared" si="1"/>
        <v/>
      </c>
      <c r="K40" s="782" t="str">
        <f t="shared" si="2"/>
        <v/>
      </c>
      <c r="L40" s="782" t="str">
        <f t="shared" si="3"/>
        <v/>
      </c>
      <c r="M40" s="782" t="str">
        <f t="shared" si="4"/>
        <v/>
      </c>
    </row>
    <row r="41" spans="1:13" ht="26.4" customHeight="1">
      <c r="A41" s="783" t="s">
        <v>1615</v>
      </c>
      <c r="B41" s="783" t="s">
        <v>1616</v>
      </c>
      <c r="C41" s="784"/>
      <c r="D41" s="784"/>
      <c r="E41" s="785" t="n">
        <v>8750000.0</v>
      </c>
      <c r="F41" s="785"/>
      <c r="G41" s="785" t="n">
        <v>8750000.0</v>
      </c>
      <c r="H41" s="784"/>
      <c r="I41" s="806" t="str">
        <f t="shared" si="0"/>
        <v/>
      </c>
      <c r="J41" s="782" t="str">
        <f t="shared" si="1"/>
        <v/>
      </c>
      <c r="K41" s="782" t="str">
        <f t="shared" si="2"/>
        <v/>
      </c>
      <c r="L41" s="782" t="str">
        <f t="shared" si="3"/>
        <v/>
      </c>
      <c r="M41" s="782" t="str">
        <f t="shared" si="4"/>
        <v/>
      </c>
    </row>
    <row r="42" spans="1:13" ht="26.4" customHeight="1">
      <c r="A42" s="783" t="s">
        <v>1617</v>
      </c>
      <c r="B42" s="783" t="s">
        <v>1618</v>
      </c>
      <c r="C42" s="784"/>
      <c r="D42" s="785"/>
      <c r="E42" s="785" t="n">
        <v>1750000.0</v>
      </c>
      <c r="F42" s="784"/>
      <c r="G42" s="784" t="n">
        <v>1750000.0</v>
      </c>
      <c r="H42" s="784"/>
      <c r="I42" s="806" t="str">
        <f t="shared" si="0"/>
        <v/>
      </c>
      <c r="J42" s="782" t="str">
        <f t="shared" si="1"/>
        <v/>
      </c>
      <c r="K42" s="782" t="str">
        <f t="shared" si="2"/>
        <v/>
      </c>
      <c r="L42" s="782" t="str">
        <f t="shared" si="3"/>
        <v/>
      </c>
      <c r="M42" s="782" t="str">
        <f t="shared" si="4"/>
        <v/>
      </c>
    </row>
    <row r="43" spans="1:13" ht="26.4" customHeight="1">
      <c r="A43" s="783" t="s">
        <v>1619</v>
      </c>
      <c r="B43" s="783" t="s">
        <v>1620</v>
      </c>
      <c r="C43" s="785"/>
      <c r="D43" s="784"/>
      <c r="E43" s="784" t="n">
        <v>222000.0</v>
      </c>
      <c r="F43" s="784"/>
      <c r="G43" s="785" t="n">
        <v>222000.0</v>
      </c>
      <c r="H43" s="784"/>
      <c r="I43" s="806" t="str">
        <f t="shared" si="0"/>
        <v/>
      </c>
      <c r="J43" s="782" t="str">
        <f t="shared" si="1"/>
        <v/>
      </c>
      <c r="K43" s="782" t="str">
        <f t="shared" si="2"/>
        <v/>
      </c>
      <c r="L43" s="782" t="str">
        <f t="shared" si="3"/>
        <v/>
      </c>
      <c r="M43" s="782" t="str">
        <f t="shared" si="4"/>
        <v/>
      </c>
    </row>
    <row r="44" spans="1:13" ht="26.4" customHeight="1">
      <c r="A44" s="783" t="s">
        <v>1621</v>
      </c>
      <c r="B44" s="783" t="s">
        <v>1622</v>
      </c>
      <c r="C44" s="785"/>
      <c r="D44" s="784"/>
      <c r="E44" s="785" t="n">
        <v>1893330.0</v>
      </c>
      <c r="F44" s="785"/>
      <c r="G44" s="785" t="n">
        <v>1893330.0</v>
      </c>
      <c r="H44" s="784"/>
      <c r="I44" s="806" t="str">
        <f t="shared" si="0"/>
        <v/>
      </c>
      <c r="J44" s="782" t="str">
        <f t="shared" si="1"/>
        <v/>
      </c>
      <c r="K44" s="782" t="str">
        <f t="shared" si="2"/>
        <v/>
      </c>
      <c r="L44" s="782" t="str">
        <f t="shared" si="3"/>
        <v/>
      </c>
      <c r="M44" s="782" t="str">
        <f t="shared" si="4"/>
        <v/>
      </c>
    </row>
    <row r="45" spans="1:13" ht="26.4" customHeight="1">
      <c r="A45" s="783" t="s">
        <v>1623</v>
      </c>
      <c r="B45" s="783" t="s">
        <v>1624</v>
      </c>
      <c r="C45" s="784"/>
      <c r="D45" s="784"/>
      <c r="E45" s="785" t="n">
        <v>2640000.0</v>
      </c>
      <c r="F45" s="785"/>
      <c r="G45" s="784" t="n">
        <v>2640000.0</v>
      </c>
      <c r="H45" s="785"/>
      <c r="I45" s="806" t="str">
        <f t="shared" si="0"/>
        <v/>
      </c>
      <c r="J45" s="782" t="str">
        <f t="shared" si="1"/>
        <v/>
      </c>
      <c r="K45" s="782" t="str">
        <f t="shared" si="2"/>
        <v/>
      </c>
      <c r="L45" s="782" t="str">
        <f t="shared" si="3"/>
        <v/>
      </c>
      <c r="M45" s="782" t="str">
        <f t="shared" si="4"/>
        <v/>
      </c>
    </row>
    <row r="46" spans="1:13" ht="26.4" customHeight="1">
      <c r="A46" s="783" t="s">
        <v>1625</v>
      </c>
      <c r="B46" s="783" t="s">
        <v>1626</v>
      </c>
      <c r="C46" s="784"/>
      <c r="D46" s="785"/>
      <c r="E46" s="785" t="n">
        <v>3003414.0</v>
      </c>
      <c r="F46" s="785" t="n">
        <v>11700.0</v>
      </c>
      <c r="G46" s="784" t="n">
        <v>2991714.0</v>
      </c>
      <c r="H46" s="785"/>
      <c r="I46" s="806" t="str">
        <f t="shared" si="0"/>
        <v/>
      </c>
      <c r="J46" s="782" t="str">
        <f t="shared" si="1"/>
        <v/>
      </c>
      <c r="K46" s="782" t="str">
        <f t="shared" si="2"/>
        <v/>
      </c>
      <c r="L46" s="782" t="str">
        <f t="shared" si="3"/>
        <v/>
      </c>
      <c r="M46" s="782" t="str">
        <f t="shared" si="4"/>
        <v/>
      </c>
    </row>
    <row r="47" spans="1:13" ht="26.4" customHeight="1">
      <c r="A47" s="783" t="s">
        <v>1627</v>
      </c>
      <c r="B47" s="783" t="s">
        <v>1628</v>
      </c>
      <c r="C47" s="785"/>
      <c r="D47" s="784"/>
      <c r="E47" s="785" t="n">
        <v>1.05105E7</v>
      </c>
      <c r="F47" s="785"/>
      <c r="G47" s="784" t="n">
        <v>1.05105E7</v>
      </c>
      <c r="H47" s="784"/>
      <c r="I47" s="806" t="str">
        <f t="shared" si="0"/>
        <v/>
      </c>
      <c r="J47" s="782" t="str">
        <f t="shared" si="1"/>
        <v/>
      </c>
      <c r="K47" s="782" t="str">
        <f t="shared" si="2"/>
        <v/>
      </c>
      <c r="L47" s="782" t="str">
        <f t="shared" si="3"/>
        <v/>
      </c>
      <c r="M47" s="782" t="str">
        <f t="shared" si="4"/>
        <v/>
      </c>
    </row>
    <row r="48" spans="1:13" ht="26.4" customHeight="1">
      <c r="A48" s="783" t="s">
        <v>1629</v>
      </c>
      <c r="B48" s="783" t="s">
        <v>1630</v>
      </c>
      <c r="C48" s="784"/>
      <c r="D48" s="784"/>
      <c r="E48" s="785" t="n">
        <v>1575000.0</v>
      </c>
      <c r="F48" s="785"/>
      <c r="G48" s="784" t="n">
        <v>1575000.0</v>
      </c>
      <c r="H48" s="785"/>
      <c r="I48" s="806" t="str">
        <f t="shared" si="0"/>
        <v/>
      </c>
      <c r="J48" s="782" t="str">
        <f t="shared" si="1"/>
        <v/>
      </c>
      <c r="K48" s="782" t="str">
        <f t="shared" si="2"/>
        <v/>
      </c>
      <c r="L48" s="782" t="str">
        <f t="shared" si="3"/>
        <v/>
      </c>
      <c r="M48" s="782" t="str">
        <f t="shared" si="4"/>
        <v/>
      </c>
    </row>
    <row r="49" spans="1:13" ht="26.4" customHeight="1">
      <c r="A49" s="783" t="s">
        <v>1631</v>
      </c>
      <c r="B49" s="783" t="s">
        <v>1632</v>
      </c>
      <c r="C49" s="784"/>
      <c r="D49" s="785"/>
      <c r="E49" s="785" t="n">
        <v>1575000.0</v>
      </c>
      <c r="F49" s="785"/>
      <c r="G49" s="784" t="n">
        <v>1575000.0</v>
      </c>
      <c r="H49" s="785"/>
      <c r="I49" s="806" t="str">
        <f t="shared" si="0"/>
        <v/>
      </c>
      <c r="J49" s="782" t="str">
        <f t="shared" si="1"/>
        <v/>
      </c>
      <c r="K49" s="782" t="str">
        <f t="shared" si="2"/>
        <v/>
      </c>
      <c r="L49" s="782" t="str">
        <f t="shared" si="3"/>
        <v/>
      </c>
      <c r="M49" s="782" t="str">
        <f t="shared" si="4"/>
        <v/>
      </c>
    </row>
    <row r="50" spans="1:14" ht="26.4" customHeight="1">
      <c r="A50" s="783" t="s">
        <v>1633</v>
      </c>
      <c r="B50" s="783" t="s">
        <v>1634</v>
      </c>
      <c r="C50" s="784"/>
      <c r="D50" s="784"/>
      <c r="E50" s="785" t="n">
        <v>320073.0</v>
      </c>
      <c r="F50" s="784"/>
      <c r="G50" s="785" t="n">
        <v>320073.0</v>
      </c>
      <c r="H50" s="784"/>
      <c r="I50" s="806" t="str">
        <f t="shared" si="0"/>
        <v/>
      </c>
      <c r="J50" s="782" t="str">
        <f t="shared" si="1"/>
        <v/>
      </c>
      <c r="K50" s="782" t="str">
        <f t="shared" si="2"/>
        <v/>
      </c>
      <c r="L50" s="782" t="str">
        <f t="shared" si="3"/>
        <v/>
      </c>
      <c r="M50" s="782" t="str">
        <f t="shared" si="4"/>
        <v/>
      </c>
      <c r="N50" s="788"/>
    </row>
    <row r="51" spans="1:13" ht="26.4" customHeight="1">
      <c r="A51" s="783" t="s">
        <v>1635</v>
      </c>
      <c r="B51" s="783" t="s">
        <v>1636</v>
      </c>
      <c r="C51" s="784"/>
      <c r="D51" s="785"/>
      <c r="E51" s="785" t="n">
        <v>378000.0</v>
      </c>
      <c r="F51" s="785"/>
      <c r="G51" s="784" t="n">
        <v>378000.0</v>
      </c>
      <c r="H51" s="785"/>
      <c r="I51" s="806" t="str">
        <f t="shared" si="0"/>
        <v/>
      </c>
      <c r="J51" s="782" t="str">
        <f t="shared" si="1"/>
        <v/>
      </c>
      <c r="K51" s="782" t="str">
        <f t="shared" si="2"/>
        <v/>
      </c>
      <c r="L51" s="782" t="str">
        <f t="shared" si="3"/>
        <v/>
      </c>
      <c r="M51" s="782" t="str">
        <f t="shared" si="4"/>
        <v/>
      </c>
    </row>
    <row r="52" spans="1:13" ht="26.4" customHeight="1">
      <c r="A52" s="783" t="s">
        <v>1637</v>
      </c>
      <c r="B52" s="783" t="s">
        <v>1638</v>
      </c>
      <c r="C52" s="784"/>
      <c r="D52" s="785"/>
      <c r="E52" s="785" t="n">
        <v>155862.0</v>
      </c>
      <c r="F52" s="785"/>
      <c r="G52" s="784" t="n">
        <v>155862.0</v>
      </c>
      <c r="H52" s="785"/>
      <c r="I52" s="806" t="str">
        <f t="shared" si="0"/>
        <v/>
      </c>
      <c r="J52" s="782" t="str">
        <f t="shared" si="1"/>
        <v/>
      </c>
      <c r="K52" s="782" t="str">
        <f t="shared" si="2"/>
        <v/>
      </c>
      <c r="L52" s="782" t="str">
        <f t="shared" si="3"/>
        <v/>
      </c>
      <c r="M52" s="782" t="str">
        <f t="shared" si="4"/>
        <v/>
      </c>
    </row>
    <row r="53" spans="1:13" ht="26.4" customHeight="1">
      <c r="A53" s="783" t="s">
        <v>1639</v>
      </c>
      <c r="B53" s="783" t="s">
        <v>1640</v>
      </c>
      <c r="C53" s="784"/>
      <c r="D53" s="785"/>
      <c r="E53" s="784" t="n">
        <v>217016.0</v>
      </c>
      <c r="F53" s="784"/>
      <c r="G53" s="784" t="n">
        <v>217016.0</v>
      </c>
      <c r="H53" s="785"/>
      <c r="I53" s="806" t="str">
        <f t="shared" si="0"/>
        <v/>
      </c>
      <c r="J53" s="782" t="str">
        <f t="shared" si="1"/>
        <v/>
      </c>
      <c r="K53" s="782" t="str">
        <f t="shared" si="2"/>
        <v/>
      </c>
      <c r="L53" s="782" t="str">
        <f t="shared" si="3"/>
        <v/>
      </c>
      <c r="M53" s="782" t="str">
        <f t="shared" si="4"/>
        <v/>
      </c>
    </row>
    <row r="54" spans="1:13" ht="26.4" customHeight="1">
      <c r="A54" s="783" t="s">
        <v>1641</v>
      </c>
      <c r="B54" s="783" t="s">
        <v>1642</v>
      </c>
      <c r="C54" s="784"/>
      <c r="D54" s="784"/>
      <c r="E54" s="785" t="n">
        <v>150000.0</v>
      </c>
      <c r="F54" s="784"/>
      <c r="G54" s="785" t="n">
        <v>150000.0</v>
      </c>
      <c r="H54" s="784"/>
      <c r="I54" s="806" t="str">
        <f t="shared" si="0"/>
        <v/>
      </c>
      <c r="J54" s="782" t="str">
        <f t="shared" si="1"/>
        <v/>
      </c>
      <c r="K54" s="782" t="str">
        <f t="shared" si="2"/>
        <v/>
      </c>
      <c r="L54" s="782" t="str">
        <f t="shared" si="3"/>
        <v/>
      </c>
      <c r="M54" s="782" t="str">
        <f t="shared" si="4"/>
        <v/>
      </c>
    </row>
    <row r="55" spans="1:13" ht="26.4" customHeight="1">
      <c r="A55" s="783" t="s">
        <v>1643</v>
      </c>
      <c r="B55" s="783" t="s">
        <v>1644</v>
      </c>
      <c r="C55" s="785"/>
      <c r="D55" s="784"/>
      <c r="E55" s="785" t="n">
        <v>8413083.0</v>
      </c>
      <c r="F55" s="784"/>
      <c r="G55" s="785" t="n">
        <v>8413083.0</v>
      </c>
      <c r="H55" s="784"/>
      <c r="I55" s="806" t="str">
        <f t="shared" si="0"/>
        <v/>
      </c>
      <c r="J55" s="782" t="str">
        <f t="shared" si="1"/>
        <v/>
      </c>
      <c r="K55" s="782" t="str">
        <f t="shared" si="2"/>
        <v/>
      </c>
      <c r="L55" s="782" t="str">
        <f t="shared" si="3"/>
        <v/>
      </c>
      <c r="M55" s="782" t="str">
        <f t="shared" si="4"/>
        <v/>
      </c>
    </row>
    <row r="56" spans="1:13" ht="26.4" customHeight="1">
      <c r="A56" s="783" t="s">
        <v>1645</v>
      </c>
      <c r="B56" s="783" t="s">
        <v>1646</v>
      </c>
      <c r="C56" s="784"/>
      <c r="D56" s="785"/>
      <c r="E56" s="785" t="n">
        <v>2233692.0</v>
      </c>
      <c r="F56" s="785"/>
      <c r="G56" s="784" t="n">
        <v>2233692.0</v>
      </c>
      <c r="H56" s="785"/>
      <c r="I56" s="806" t="str">
        <f t="shared" si="0"/>
        <v/>
      </c>
      <c r="J56" s="782" t="str">
        <f t="shared" si="1"/>
        <v/>
      </c>
      <c r="K56" s="782" t="str">
        <f t="shared" si="2"/>
        <v/>
      </c>
      <c r="L56" s="782" t="str">
        <f t="shared" si="3"/>
        <v/>
      </c>
      <c r="M56" s="782" t="str">
        <f t="shared" si="4"/>
        <v/>
      </c>
    </row>
    <row r="57" spans="1:13" ht="26.4" customHeight="1">
      <c r="A57" s="783" t="s">
        <v>1647</v>
      </c>
      <c r="B57" s="783" t="s">
        <v>1648</v>
      </c>
      <c r="C57" s="784"/>
      <c r="D57" s="784"/>
      <c r="E57" s="785" t="n">
        <v>1060800.0</v>
      </c>
      <c r="F57" s="785"/>
      <c r="G57" s="784" t="n">
        <v>1060800.0</v>
      </c>
      <c r="H57" s="784"/>
      <c r="I57" s="806" t="str">
        <f t="shared" si="0"/>
        <v/>
      </c>
      <c r="J57" s="782" t="str">
        <f t="shared" si="1"/>
        <v/>
      </c>
      <c r="K57" s="782" t="str">
        <f t="shared" si="2"/>
        <v/>
      </c>
      <c r="L57" s="782" t="str">
        <f t="shared" si="3"/>
        <v/>
      </c>
      <c r="M57" s="782" t="str">
        <f t="shared" si="4"/>
        <v/>
      </c>
    </row>
    <row r="58" spans="1:13" ht="26.4" customHeight="1">
      <c r="A58" s="783" t="s">
        <v>1649</v>
      </c>
      <c r="B58" s="783" t="s">
        <v>1650</v>
      </c>
      <c r="C58" s="784"/>
      <c r="D58" s="785"/>
      <c r="E58" s="784" t="n">
        <v>954021.0</v>
      </c>
      <c r="F58" s="784"/>
      <c r="G58" s="784" t="n">
        <v>954021.0</v>
      </c>
      <c r="H58" s="785"/>
      <c r="I58" s="806" t="str">
        <f t="shared" si="0"/>
        <v/>
      </c>
      <c r="J58" s="782" t="str">
        <f t="shared" si="1"/>
        <v/>
      </c>
      <c r="K58" s="782" t="str">
        <f t="shared" si="2"/>
        <v/>
      </c>
      <c r="L58" s="782" t="str">
        <f t="shared" si="3"/>
        <v/>
      </c>
      <c r="M58" s="782" t="str">
        <f t="shared" si="4"/>
        <v/>
      </c>
    </row>
    <row r="59" spans="1:13" ht="26.4" customHeight="1">
      <c r="A59" s="783" t="s">
        <v>1651</v>
      </c>
      <c r="B59" s="783" t="s">
        <v>1652</v>
      </c>
      <c r="C59" s="784"/>
      <c r="D59" s="784"/>
      <c r="E59" s="785" t="n">
        <v>263520.0</v>
      </c>
      <c r="F59" s="784"/>
      <c r="G59" s="785" t="n">
        <v>263520.0</v>
      </c>
      <c r="H59" s="784"/>
      <c r="I59" s="806" t="str">
        <f t="shared" si="0"/>
        <v/>
      </c>
      <c r="J59" s="782" t="str">
        <f t="shared" si="1"/>
        <v/>
      </c>
      <c r="K59" s="782" t="str">
        <f t="shared" si="2"/>
        <v/>
      </c>
      <c r="L59" s="782" t="str">
        <f t="shared" si="3"/>
        <v/>
      </c>
      <c r="M59" s="782" t="str">
        <f t="shared" si="4"/>
        <v/>
      </c>
    </row>
    <row r="60" spans="1:13" ht="26.4" customHeight="1">
      <c r="A60" s="783" t="s">
        <v>1653</v>
      </c>
      <c r="B60" s="783" t="s">
        <v>1654</v>
      </c>
      <c r="C60" s="785"/>
      <c r="D60" s="784"/>
      <c r="E60" s="784" t="n">
        <v>3.4638052E7</v>
      </c>
      <c r="F60" s="784"/>
      <c r="G60" s="785" t="n">
        <v>3.4638052E7</v>
      </c>
      <c r="H60" s="784"/>
      <c r="I60" s="806" t="str">
        <f t="shared" si="0"/>
        <v/>
      </c>
      <c r="J60" s="782" t="str">
        <f t="shared" si="1"/>
        <v/>
      </c>
      <c r="K60" s="782" t="str">
        <f t="shared" si="2"/>
        <v/>
      </c>
      <c r="L60" s="782" t="str">
        <f t="shared" si="3"/>
        <v/>
      </c>
      <c r="M60" s="782" t="str">
        <f t="shared" si="4"/>
        <v/>
      </c>
    </row>
    <row r="61" spans="1:13" ht="26.4" customHeight="1">
      <c r="A61" s="783" t="s">
        <v>1655</v>
      </c>
      <c r="B61" s="783" t="s">
        <v>1656</v>
      </c>
      <c r="C61" s="785"/>
      <c r="D61" s="784"/>
      <c r="E61" s="784"/>
      <c r="F61" s="784" t="n">
        <v>1.24770879E8</v>
      </c>
      <c r="G61" s="785"/>
      <c r="H61" s="784" t="n">
        <v>1.24770879E8</v>
      </c>
      <c r="I61" s="806" t="str">
        <f t="shared" si="0"/>
        <v/>
      </c>
      <c r="J61" s="782" t="str">
        <f t="shared" si="1"/>
        <v/>
      </c>
      <c r="K61" s="782" t="str">
        <f t="shared" si="2"/>
        <v/>
      </c>
      <c r="L61" s="782" t="str">
        <f t="shared" si="3"/>
        <v/>
      </c>
      <c r="M61" s="782" t="str">
        <f t="shared" si="4"/>
        <v/>
      </c>
    </row>
    <row r="62" spans="1:13" ht="26.4" customHeight="1">
      <c r="A62" s="783" t="s">
        <v>1657</v>
      </c>
      <c r="B62" s="783" t="s">
        <v>1658</v>
      </c>
      <c r="C62" s="785"/>
      <c r="D62" s="784"/>
      <c r="E62" s="784" t="n">
        <v>623854.0</v>
      </c>
      <c r="F62" s="784"/>
      <c r="G62" s="785" t="n">
        <v>623854.0</v>
      </c>
      <c r="H62" s="784"/>
      <c r="I62" s="806" t="str">
        <f t="shared" si="0"/>
        <v/>
      </c>
      <c r="J62" s="782" t="str">
        <f t="shared" si="1"/>
        <v/>
      </c>
      <c r="K62" s="782" t="str">
        <f t="shared" si="2"/>
        <v/>
      </c>
      <c r="L62" s="782" t="str">
        <f t="shared" si="3"/>
        <v/>
      </c>
      <c r="M62" s="782" t="str">
        <f t="shared" si="4"/>
        <v/>
      </c>
    </row>
    <row r="63" spans="1:13" ht="26.4" customHeight="1">
      <c r="A63" s="783"/>
      <c r="B63" s="783"/>
      <c r="C63" s="784"/>
      <c r="D63" s="785"/>
      <c r="E63" s="784"/>
      <c r="F63" s="784"/>
      <c r="G63" s="784"/>
      <c r="H63" s="785"/>
      <c r="I63" s="806" t="str">
        <f t="shared" si="0"/>
        <v/>
      </c>
      <c r="J63" s="782" t="str">
        <f t="shared" si="1"/>
        <v/>
      </c>
      <c r="K63" s="782" t="str">
        <f t="shared" si="2"/>
        <v/>
      </c>
      <c r="L63" s="782" t="str">
        <f t="shared" si="3"/>
        <v/>
      </c>
      <c r="M63" s="782" t="str">
        <f t="shared" si="4"/>
        <v/>
      </c>
    </row>
    <row r="64" spans="1:13" ht="26.4" customHeight="1">
      <c r="A64" s="783"/>
      <c r="B64" s="783"/>
      <c r="C64" s="784"/>
      <c r="D64" s="785"/>
      <c r="E64" s="784"/>
      <c r="F64" s="784"/>
      <c r="G64" s="784"/>
      <c r="H64" s="785"/>
      <c r="I64" s="806" t="str">
        <f t="shared" si="0"/>
        <v/>
      </c>
      <c r="J64" s="782" t="str">
        <f t="shared" si="1"/>
        <v/>
      </c>
      <c r="K64" s="782" t="str">
        <f t="shared" si="2"/>
        <v/>
      </c>
      <c r="L64" s="782" t="str">
        <f t="shared" si="3"/>
        <v/>
      </c>
      <c r="M64" s="782" t="str">
        <f t="shared" si="4"/>
        <v/>
      </c>
    </row>
    <row r="65" spans="1:13" ht="26.4" customHeight="1">
      <c r="A65" s="783"/>
      <c r="B65" s="783"/>
      <c r="C65" s="785"/>
      <c r="D65" s="784"/>
      <c r="E65" s="785"/>
      <c r="F65" s="785"/>
      <c r="G65" s="785"/>
      <c r="H65" s="784"/>
      <c r="I65" s="806" t="str">
        <f t="shared" si="0"/>
        <v/>
      </c>
      <c r="J65" s="782" t="str">
        <f t="shared" si="1"/>
        <v/>
      </c>
      <c r="K65" s="782" t="str">
        <f t="shared" si="2"/>
        <v/>
      </c>
      <c r="L65" s="782" t="str">
        <f t="shared" si="3"/>
        <v/>
      </c>
      <c r="M65" s="782" t="str">
        <f t="shared" si="4"/>
        <v/>
      </c>
    </row>
    <row r="66" spans="1:13" ht="26.4" customHeight="1">
      <c r="A66" s="783"/>
      <c r="B66" s="783"/>
      <c r="C66" s="785"/>
      <c r="D66" s="784"/>
      <c r="E66" s="784"/>
      <c r="F66" s="785"/>
      <c r="G66" s="785"/>
      <c r="H66" s="784"/>
      <c r="I66" s="806" t="str">
        <f t="shared" si="0"/>
        <v/>
      </c>
      <c r="J66" s="782" t="str">
        <f t="shared" si="1"/>
        <v/>
      </c>
      <c r="K66" s="782" t="str">
        <f t="shared" si="2"/>
        <v/>
      </c>
      <c r="L66" s="782" t="str">
        <f t="shared" si="3"/>
        <v/>
      </c>
      <c r="M66" s="782" t="str">
        <f t="shared" si="4"/>
        <v/>
      </c>
    </row>
    <row r="67" spans="1:13" ht="26.4" customHeight="1">
      <c r="A67" s="783"/>
      <c r="B67" s="783"/>
      <c r="C67" s="785"/>
      <c r="D67" s="784"/>
      <c r="E67" s="785"/>
      <c r="F67" s="785"/>
      <c r="G67" s="785"/>
      <c r="H67" s="784"/>
      <c r="I67" s="806" t="str">
        <f t="shared" si="5" ref="I67:I130">LEFT(A67,2)</f>
        <v/>
      </c>
      <c r="J67" s="782" t="str">
        <f t="shared" si="6" ref="J67:J130">LEFT(A67,3)</f>
        <v/>
      </c>
      <c r="K67" s="782" t="str">
        <f t="shared" si="7" ref="K67:K130">LEFT(A67,4)</f>
        <v/>
      </c>
      <c r="L67" s="782" t="str">
        <f t="shared" si="8" ref="L67:L130">LEFT(A67,5)</f>
        <v/>
      </c>
      <c r="M67" s="782" t="str">
        <f t="shared" si="9" ref="M67:M130">LEFT(A67,1)</f>
        <v/>
      </c>
    </row>
    <row r="68" spans="1:13" ht="26.4" customHeight="1">
      <c r="A68" s="783"/>
      <c r="B68" s="783"/>
      <c r="C68" s="784"/>
      <c r="D68" s="784"/>
      <c r="E68" s="785"/>
      <c r="F68" s="785"/>
      <c r="G68" s="784"/>
      <c r="H68" s="784"/>
      <c r="I68" s="806" t="str">
        <f t="shared" si="5"/>
        <v/>
      </c>
      <c r="J68" s="782" t="str">
        <f t="shared" si="6"/>
        <v/>
      </c>
      <c r="K68" s="782" t="str">
        <f t="shared" si="7"/>
        <v/>
      </c>
      <c r="L68" s="782" t="str">
        <f t="shared" si="8"/>
        <v/>
      </c>
      <c r="M68" s="782" t="str">
        <f t="shared" si="9"/>
        <v/>
      </c>
    </row>
    <row r="69" spans="1:13" ht="26.4" customHeight="1">
      <c r="A69" s="783"/>
      <c r="B69" s="783"/>
      <c r="C69" s="784"/>
      <c r="D69" s="784"/>
      <c r="E69" s="785"/>
      <c r="F69" s="784"/>
      <c r="G69" s="785"/>
      <c r="H69" s="784"/>
      <c r="I69" s="806" t="str">
        <f t="shared" si="5"/>
        <v/>
      </c>
      <c r="J69" s="782" t="str">
        <f t="shared" si="6"/>
        <v/>
      </c>
      <c r="K69" s="782" t="str">
        <f t="shared" si="7"/>
        <v/>
      </c>
      <c r="L69" s="782" t="str">
        <f t="shared" si="8"/>
        <v/>
      </c>
      <c r="M69" s="782" t="str">
        <f t="shared" si="9"/>
        <v/>
      </c>
    </row>
    <row r="70" spans="1:13" ht="26.4" customHeight="1">
      <c r="A70" s="783"/>
      <c r="B70" s="783"/>
      <c r="C70" s="784"/>
      <c r="D70" s="784"/>
      <c r="E70" s="785"/>
      <c r="F70" s="785"/>
      <c r="G70" s="784"/>
      <c r="H70" s="785"/>
      <c r="I70" s="806" t="str">
        <f t="shared" si="5"/>
        <v/>
      </c>
      <c r="J70" s="782" t="str">
        <f t="shared" si="6"/>
        <v/>
      </c>
      <c r="K70" s="782" t="str">
        <f t="shared" si="7"/>
        <v/>
      </c>
      <c r="L70" s="782" t="str">
        <f t="shared" si="8"/>
        <v/>
      </c>
      <c r="M70" s="782" t="str">
        <f t="shared" si="9"/>
        <v/>
      </c>
    </row>
    <row r="71" spans="1:13" ht="26.4" customHeight="1">
      <c r="A71" s="783"/>
      <c r="B71" s="783"/>
      <c r="C71" s="784"/>
      <c r="D71" s="784"/>
      <c r="E71" s="785"/>
      <c r="F71" s="784"/>
      <c r="G71" s="785"/>
      <c r="H71" s="784"/>
      <c r="I71" s="806" t="str">
        <f t="shared" si="5"/>
        <v/>
      </c>
      <c r="J71" s="782" t="str">
        <f t="shared" si="6"/>
        <v/>
      </c>
      <c r="K71" s="782" t="str">
        <f t="shared" si="7"/>
        <v/>
      </c>
      <c r="L71" s="782" t="str">
        <f t="shared" si="8"/>
        <v/>
      </c>
      <c r="M71" s="782" t="str">
        <f t="shared" si="9"/>
        <v/>
      </c>
    </row>
    <row r="72" spans="1:13" ht="26.4" customHeight="1">
      <c r="A72" s="783"/>
      <c r="B72" s="783"/>
      <c r="C72" s="784"/>
      <c r="D72" s="784"/>
      <c r="E72" s="785"/>
      <c r="F72" s="784"/>
      <c r="G72" s="785"/>
      <c r="H72" s="784"/>
      <c r="I72" s="806" t="str">
        <f t="shared" si="5"/>
        <v/>
      </c>
      <c r="J72" s="782" t="str">
        <f t="shared" si="6"/>
        <v/>
      </c>
      <c r="K72" s="782" t="str">
        <f t="shared" si="7"/>
        <v/>
      </c>
      <c r="L72" s="782" t="str">
        <f t="shared" si="8"/>
        <v/>
      </c>
      <c r="M72" s="782" t="str">
        <f t="shared" si="9"/>
        <v/>
      </c>
    </row>
    <row r="73" spans="1:13" ht="26.4" customHeight="1">
      <c r="A73" s="783"/>
      <c r="B73" s="783"/>
      <c r="C73" s="784"/>
      <c r="D73" s="784"/>
      <c r="E73" s="785"/>
      <c r="F73" s="784"/>
      <c r="G73" s="785"/>
      <c r="H73" s="784"/>
      <c r="I73" s="806" t="str">
        <f t="shared" si="5"/>
        <v/>
      </c>
      <c r="J73" s="782" t="str">
        <f t="shared" si="6"/>
        <v/>
      </c>
      <c r="K73" s="782" t="str">
        <f t="shared" si="7"/>
        <v/>
      </c>
      <c r="L73" s="782" t="str">
        <f t="shared" si="8"/>
        <v/>
      </c>
      <c r="M73" s="782" t="str">
        <f t="shared" si="9"/>
        <v/>
      </c>
    </row>
    <row r="74" spans="1:13" ht="26.4" customHeight="1">
      <c r="A74" s="783"/>
      <c r="B74" s="783"/>
      <c r="C74" s="784"/>
      <c r="D74" s="784"/>
      <c r="E74" s="785"/>
      <c r="F74" s="785"/>
      <c r="G74" s="785"/>
      <c r="H74" s="784"/>
      <c r="I74" s="806" t="str">
        <f t="shared" si="5"/>
        <v/>
      </c>
      <c r="J74" s="782" t="str">
        <f t="shared" si="6"/>
        <v/>
      </c>
      <c r="K74" s="782" t="str">
        <f t="shared" si="7"/>
        <v/>
      </c>
      <c r="L74" s="782" t="str">
        <f t="shared" si="8"/>
        <v/>
      </c>
      <c r="M74" s="782" t="str">
        <f t="shared" si="9"/>
        <v/>
      </c>
    </row>
    <row r="75" spans="1:13" ht="26.4" customHeight="1">
      <c r="A75" s="783"/>
      <c r="B75" s="783"/>
      <c r="C75" s="784"/>
      <c r="D75" s="784"/>
      <c r="E75" s="785"/>
      <c r="F75" s="784"/>
      <c r="G75" s="785"/>
      <c r="H75" s="784"/>
      <c r="I75" s="806" t="str">
        <f t="shared" si="5"/>
        <v/>
      </c>
      <c r="J75" s="782" t="str">
        <f t="shared" si="6"/>
        <v/>
      </c>
      <c r="K75" s="782" t="str">
        <f t="shared" si="7"/>
        <v/>
      </c>
      <c r="L75" s="782" t="str">
        <f t="shared" si="8"/>
        <v/>
      </c>
      <c r="M75" s="782" t="str">
        <f t="shared" si="9"/>
        <v/>
      </c>
    </row>
    <row r="76" spans="1:13" ht="26.4" customHeight="1">
      <c r="A76" s="783"/>
      <c r="B76" s="783"/>
      <c r="C76" s="784"/>
      <c r="D76" s="784"/>
      <c r="E76" s="785"/>
      <c r="F76" s="784"/>
      <c r="G76" s="785"/>
      <c r="H76" s="784"/>
      <c r="I76" s="806" t="str">
        <f t="shared" si="5"/>
        <v/>
      </c>
      <c r="J76" s="782" t="str">
        <f t="shared" si="6"/>
        <v/>
      </c>
      <c r="K76" s="782" t="str">
        <f t="shared" si="7"/>
        <v/>
      </c>
      <c r="L76" s="782" t="str">
        <f t="shared" si="8"/>
        <v/>
      </c>
      <c r="M76" s="782" t="str">
        <f t="shared" si="9"/>
        <v/>
      </c>
    </row>
    <row r="77" spans="1:13" ht="26.4" customHeight="1">
      <c r="A77" s="783"/>
      <c r="B77" s="783"/>
      <c r="C77" s="784"/>
      <c r="D77" s="784"/>
      <c r="E77" s="785"/>
      <c r="F77" s="784"/>
      <c r="G77" s="785"/>
      <c r="H77" s="784"/>
      <c r="I77" s="806" t="str">
        <f t="shared" si="5"/>
        <v/>
      </c>
      <c r="J77" s="782" t="str">
        <f t="shared" si="6"/>
        <v/>
      </c>
      <c r="K77" s="782" t="str">
        <f t="shared" si="7"/>
        <v/>
      </c>
      <c r="L77" s="782" t="str">
        <f t="shared" si="8"/>
        <v/>
      </c>
      <c r="M77" s="782" t="str">
        <f t="shared" si="9"/>
        <v/>
      </c>
    </row>
    <row r="78" spans="1:13" ht="26.4" customHeight="1">
      <c r="A78" s="783"/>
      <c r="B78" s="783"/>
      <c r="C78" s="784"/>
      <c r="D78" s="784"/>
      <c r="E78" s="785"/>
      <c r="F78" s="784"/>
      <c r="G78" s="785"/>
      <c r="H78" s="784"/>
      <c r="I78" s="806" t="str">
        <f t="shared" si="5"/>
        <v/>
      </c>
      <c r="J78" s="782" t="str">
        <f t="shared" si="6"/>
        <v/>
      </c>
      <c r="K78" s="782" t="str">
        <f t="shared" si="7"/>
        <v/>
      </c>
      <c r="L78" s="782" t="str">
        <f t="shared" si="8"/>
        <v/>
      </c>
      <c r="M78" s="782" t="str">
        <f t="shared" si="9"/>
        <v/>
      </c>
    </row>
    <row r="79" spans="1:13" ht="26.4" customHeight="1">
      <c r="A79" s="783"/>
      <c r="B79" s="783"/>
      <c r="C79" s="784"/>
      <c r="D79" s="784"/>
      <c r="E79" s="785"/>
      <c r="F79" s="784"/>
      <c r="G79" s="785"/>
      <c r="H79" s="784"/>
      <c r="I79" s="806" t="str">
        <f t="shared" si="5"/>
        <v/>
      </c>
      <c r="J79" s="782" t="str">
        <f t="shared" si="6"/>
        <v/>
      </c>
      <c r="K79" s="782" t="str">
        <f t="shared" si="7"/>
        <v/>
      </c>
      <c r="L79" s="782" t="str">
        <f t="shared" si="8"/>
        <v/>
      </c>
      <c r="M79" s="782" t="str">
        <f t="shared" si="9"/>
        <v/>
      </c>
    </row>
    <row r="80" spans="1:13" ht="26.4" customHeight="1">
      <c r="A80" s="783"/>
      <c r="B80" s="783"/>
      <c r="C80" s="784"/>
      <c r="D80" s="784"/>
      <c r="E80" s="785"/>
      <c r="F80" s="784"/>
      <c r="G80" s="785"/>
      <c r="H80" s="784"/>
      <c r="I80" s="806" t="str">
        <f t="shared" si="5"/>
        <v/>
      </c>
      <c r="J80" s="782" t="str">
        <f t="shared" si="6"/>
        <v/>
      </c>
      <c r="K80" s="782" t="str">
        <f t="shared" si="7"/>
        <v/>
      </c>
      <c r="L80" s="782" t="str">
        <f t="shared" si="8"/>
        <v/>
      </c>
      <c r="M80" s="782" t="str">
        <f t="shared" si="9"/>
        <v/>
      </c>
    </row>
    <row r="81" spans="1:13" ht="26.4" customHeight="1">
      <c r="A81" s="783"/>
      <c r="B81" s="783"/>
      <c r="C81" s="784"/>
      <c r="D81" s="784"/>
      <c r="E81" s="785"/>
      <c r="F81" s="784"/>
      <c r="G81" s="785"/>
      <c r="H81" s="784"/>
      <c r="I81" s="806" t="str">
        <f t="shared" si="5"/>
        <v/>
      </c>
      <c r="J81" s="782" t="str">
        <f t="shared" si="6"/>
        <v/>
      </c>
      <c r="K81" s="782" t="str">
        <f t="shared" si="7"/>
        <v/>
      </c>
      <c r="L81" s="782" t="str">
        <f t="shared" si="8"/>
        <v/>
      </c>
      <c r="M81" s="782" t="str">
        <f t="shared" si="9"/>
        <v/>
      </c>
    </row>
    <row r="82" spans="1:13" ht="26.4" customHeight="1">
      <c r="A82" s="783"/>
      <c r="B82" s="783"/>
      <c r="C82" s="784"/>
      <c r="D82" s="784"/>
      <c r="E82" s="785"/>
      <c r="F82" s="784"/>
      <c r="G82" s="785"/>
      <c r="H82" s="784"/>
      <c r="I82" s="806" t="str">
        <f t="shared" si="5"/>
        <v/>
      </c>
      <c r="J82" s="782" t="str">
        <f t="shared" si="6"/>
        <v/>
      </c>
      <c r="K82" s="782" t="str">
        <f t="shared" si="7"/>
        <v/>
      </c>
      <c r="L82" s="782" t="str">
        <f t="shared" si="8"/>
        <v/>
      </c>
      <c r="M82" s="782" t="str">
        <f t="shared" si="9"/>
        <v/>
      </c>
    </row>
    <row r="83" spans="1:13" ht="26.4" customHeight="1">
      <c r="A83" s="783"/>
      <c r="B83" s="783"/>
      <c r="C83" s="784"/>
      <c r="D83" s="784"/>
      <c r="E83" s="785"/>
      <c r="F83" s="784"/>
      <c r="G83" s="785"/>
      <c r="H83" s="784"/>
      <c r="I83" s="806" t="str">
        <f t="shared" si="5"/>
        <v/>
      </c>
      <c r="J83" s="782" t="str">
        <f t="shared" si="6"/>
        <v/>
      </c>
      <c r="K83" s="782" t="str">
        <f t="shared" si="7"/>
        <v/>
      </c>
      <c r="L83" s="782" t="str">
        <f t="shared" si="8"/>
        <v/>
      </c>
      <c r="M83" s="782" t="str">
        <f t="shared" si="9"/>
        <v/>
      </c>
    </row>
    <row r="84" spans="1:13" ht="26.4" customHeight="1">
      <c r="A84" s="783"/>
      <c r="B84" s="783"/>
      <c r="C84" s="784"/>
      <c r="D84" s="784"/>
      <c r="E84" s="785"/>
      <c r="F84" s="784"/>
      <c r="G84" s="785"/>
      <c r="H84" s="784"/>
      <c r="I84" s="806" t="str">
        <f t="shared" si="5"/>
        <v/>
      </c>
      <c r="J84" s="782" t="str">
        <f t="shared" si="6"/>
        <v/>
      </c>
      <c r="K84" s="782" t="str">
        <f t="shared" si="7"/>
        <v/>
      </c>
      <c r="L84" s="782" t="str">
        <f t="shared" si="8"/>
        <v/>
      </c>
      <c r="M84" s="782" t="str">
        <f t="shared" si="9"/>
        <v/>
      </c>
    </row>
    <row r="85" spans="1:13" ht="26.4" customHeight="1">
      <c r="A85" s="783"/>
      <c r="B85" s="783"/>
      <c r="C85" s="784"/>
      <c r="D85" s="784"/>
      <c r="E85" s="785"/>
      <c r="F85" s="784"/>
      <c r="G85" s="785"/>
      <c r="H85" s="784"/>
      <c r="I85" s="806" t="str">
        <f t="shared" si="5"/>
        <v/>
      </c>
      <c r="J85" s="782" t="str">
        <f t="shared" si="6"/>
        <v/>
      </c>
      <c r="K85" s="782" t="str">
        <f t="shared" si="7"/>
        <v/>
      </c>
      <c r="L85" s="782" t="str">
        <f t="shared" si="8"/>
        <v/>
      </c>
      <c r="M85" s="782" t="str">
        <f t="shared" si="9"/>
        <v/>
      </c>
    </row>
    <row r="86" spans="1:13" ht="26.4" customHeight="1">
      <c r="A86" s="783"/>
      <c r="B86" s="783"/>
      <c r="C86" s="784"/>
      <c r="D86" s="784"/>
      <c r="E86" s="785"/>
      <c r="F86" s="784"/>
      <c r="G86" s="785"/>
      <c r="H86" s="784"/>
      <c r="I86" s="806" t="str">
        <f t="shared" si="5"/>
        <v/>
      </c>
      <c r="J86" s="782" t="str">
        <f t="shared" si="6"/>
        <v/>
      </c>
      <c r="K86" s="782" t="str">
        <f t="shared" si="7"/>
        <v/>
      </c>
      <c r="L86" s="782" t="str">
        <f t="shared" si="8"/>
        <v/>
      </c>
      <c r="M86" s="782" t="str">
        <f t="shared" si="9"/>
        <v/>
      </c>
    </row>
    <row r="87" spans="1:13" ht="26.4" customHeight="1">
      <c r="A87" s="783"/>
      <c r="B87" s="783"/>
      <c r="C87" s="784"/>
      <c r="D87" s="784"/>
      <c r="E87" s="785"/>
      <c r="F87" s="784"/>
      <c r="G87" s="785"/>
      <c r="H87" s="784"/>
      <c r="I87" s="806" t="str">
        <f t="shared" si="5"/>
        <v/>
      </c>
      <c r="J87" s="782" t="str">
        <f t="shared" si="6"/>
        <v/>
      </c>
      <c r="K87" s="782" t="str">
        <f t="shared" si="7"/>
        <v/>
      </c>
      <c r="L87" s="782" t="str">
        <f t="shared" si="8"/>
        <v/>
      </c>
      <c r="M87" s="782" t="str">
        <f t="shared" si="9"/>
        <v/>
      </c>
    </row>
    <row r="88" spans="1:13" ht="26.4" customHeight="1">
      <c r="A88" s="783"/>
      <c r="B88" s="783"/>
      <c r="C88" s="784"/>
      <c r="D88" s="784"/>
      <c r="E88" s="785"/>
      <c r="F88" s="784"/>
      <c r="G88" s="785"/>
      <c r="H88" s="784"/>
      <c r="I88" s="806" t="str">
        <f t="shared" si="5"/>
        <v/>
      </c>
      <c r="J88" s="782" t="str">
        <f t="shared" si="6"/>
        <v/>
      </c>
      <c r="K88" s="782" t="str">
        <f t="shared" si="7"/>
        <v/>
      </c>
      <c r="L88" s="782" t="str">
        <f t="shared" si="8"/>
        <v/>
      </c>
      <c r="M88" s="782" t="str">
        <f t="shared" si="9"/>
        <v/>
      </c>
    </row>
    <row r="89" spans="1:13" ht="26.4" customHeight="1">
      <c r="A89" s="783"/>
      <c r="B89" s="783"/>
      <c r="C89" s="784"/>
      <c r="D89" s="784"/>
      <c r="E89" s="785"/>
      <c r="F89" s="784"/>
      <c r="G89" s="785"/>
      <c r="H89" s="784"/>
      <c r="I89" s="806" t="str">
        <f t="shared" si="5"/>
        <v/>
      </c>
      <c r="J89" s="782" t="str">
        <f t="shared" si="6"/>
        <v/>
      </c>
      <c r="K89" s="782" t="str">
        <f t="shared" si="7"/>
        <v/>
      </c>
      <c r="L89" s="782" t="str">
        <f t="shared" si="8"/>
        <v/>
      </c>
      <c r="M89" s="782" t="str">
        <f t="shared" si="9"/>
        <v/>
      </c>
    </row>
    <row r="90" spans="1:13" ht="26.4" customHeight="1">
      <c r="A90" s="783"/>
      <c r="B90" s="783"/>
      <c r="C90" s="784"/>
      <c r="D90" s="784"/>
      <c r="E90" s="785"/>
      <c r="F90" s="784"/>
      <c r="G90" s="785"/>
      <c r="H90" s="784"/>
      <c r="I90" s="806" t="str">
        <f t="shared" si="5"/>
        <v/>
      </c>
      <c r="J90" s="782" t="str">
        <f t="shared" si="6"/>
        <v/>
      </c>
      <c r="K90" s="782" t="str">
        <f t="shared" si="7"/>
        <v/>
      </c>
      <c r="L90" s="782" t="str">
        <f t="shared" si="8"/>
        <v/>
      </c>
      <c r="M90" s="782" t="str">
        <f t="shared" si="9"/>
        <v/>
      </c>
    </row>
    <row r="91" spans="1:13" ht="26.4" customHeight="1">
      <c r="A91" s="783"/>
      <c r="B91" s="783"/>
      <c r="C91" s="784"/>
      <c r="D91" s="784"/>
      <c r="E91" s="785"/>
      <c r="F91" s="784"/>
      <c r="G91" s="785"/>
      <c r="H91" s="784"/>
      <c r="I91" s="806" t="str">
        <f t="shared" si="5"/>
        <v/>
      </c>
      <c r="J91" s="782" t="str">
        <f t="shared" si="6"/>
        <v/>
      </c>
      <c r="K91" s="782" t="str">
        <f t="shared" si="7"/>
        <v/>
      </c>
      <c r="L91" s="782" t="str">
        <f t="shared" si="8"/>
        <v/>
      </c>
      <c r="M91" s="782" t="str">
        <f t="shared" si="9"/>
        <v/>
      </c>
    </row>
    <row r="92" spans="1:13" ht="26.4" customHeight="1">
      <c r="A92" s="783"/>
      <c r="B92" s="783"/>
      <c r="C92" s="784"/>
      <c r="D92" s="784"/>
      <c r="E92" s="785"/>
      <c r="F92" s="784"/>
      <c r="G92" s="785"/>
      <c r="H92" s="784"/>
      <c r="I92" s="806" t="str">
        <f t="shared" si="5"/>
        <v/>
      </c>
      <c r="J92" s="782" t="str">
        <f t="shared" si="6"/>
        <v/>
      </c>
      <c r="K92" s="782" t="str">
        <f t="shared" si="7"/>
        <v/>
      </c>
      <c r="L92" s="782" t="str">
        <f t="shared" si="8"/>
        <v/>
      </c>
      <c r="M92" s="782" t="str">
        <f t="shared" si="9"/>
        <v/>
      </c>
    </row>
    <row r="93" spans="1:13" ht="26.4" customHeight="1">
      <c r="A93" s="783"/>
      <c r="B93" s="783"/>
      <c r="C93" s="784"/>
      <c r="D93" s="784"/>
      <c r="E93" s="785"/>
      <c r="F93" s="784"/>
      <c r="G93" s="785"/>
      <c r="H93" s="784"/>
      <c r="I93" s="806" t="str">
        <f t="shared" si="5"/>
        <v/>
      </c>
      <c r="J93" s="782" t="str">
        <f t="shared" si="6"/>
        <v/>
      </c>
      <c r="K93" s="782" t="str">
        <f t="shared" si="7"/>
        <v/>
      </c>
      <c r="L93" s="782" t="str">
        <f t="shared" si="8"/>
        <v/>
      </c>
      <c r="M93" s="782" t="str">
        <f t="shared" si="9"/>
        <v/>
      </c>
    </row>
    <row r="94" spans="1:13" ht="26.4" customHeight="1">
      <c r="A94" s="783"/>
      <c r="B94" s="783"/>
      <c r="C94" s="784"/>
      <c r="D94" s="784"/>
      <c r="E94" s="785"/>
      <c r="F94" s="784"/>
      <c r="G94" s="785"/>
      <c r="H94" s="784"/>
      <c r="I94" s="806" t="str">
        <f t="shared" si="5"/>
        <v/>
      </c>
      <c r="J94" s="782" t="str">
        <f t="shared" si="6"/>
        <v/>
      </c>
      <c r="K94" s="782" t="str">
        <f t="shared" si="7"/>
        <v/>
      </c>
      <c r="L94" s="782" t="str">
        <f t="shared" si="8"/>
        <v/>
      </c>
      <c r="M94" s="782" t="str">
        <f t="shared" si="9"/>
        <v/>
      </c>
    </row>
    <row r="95" spans="1:13" ht="26.4" customHeight="1">
      <c r="A95" s="783"/>
      <c r="B95" s="783"/>
      <c r="C95" s="784"/>
      <c r="D95" s="784"/>
      <c r="E95" s="785"/>
      <c r="F95" s="784"/>
      <c r="G95" s="785"/>
      <c r="H95" s="784"/>
      <c r="I95" s="806" t="str">
        <f t="shared" si="5"/>
        <v/>
      </c>
      <c r="J95" s="782" t="str">
        <f t="shared" si="6"/>
        <v/>
      </c>
      <c r="K95" s="782" t="str">
        <f t="shared" si="7"/>
        <v/>
      </c>
      <c r="L95" s="782" t="str">
        <f t="shared" si="8"/>
        <v/>
      </c>
      <c r="M95" s="782" t="str">
        <f t="shared" si="9"/>
        <v/>
      </c>
    </row>
    <row r="96" spans="1:13" ht="26.4" customHeight="1">
      <c r="A96" s="783"/>
      <c r="B96" s="783"/>
      <c r="C96" s="784"/>
      <c r="D96" s="784"/>
      <c r="E96" s="785"/>
      <c r="F96" s="784"/>
      <c r="G96" s="785"/>
      <c r="H96" s="784"/>
      <c r="I96" s="806" t="str">
        <f t="shared" si="5"/>
        <v/>
      </c>
      <c r="J96" s="782" t="str">
        <f t="shared" si="6"/>
        <v/>
      </c>
      <c r="K96" s="782" t="str">
        <f t="shared" si="7"/>
        <v/>
      </c>
      <c r="L96" s="782" t="str">
        <f t="shared" si="8"/>
        <v/>
      </c>
      <c r="M96" s="782" t="str">
        <f t="shared" si="9"/>
        <v/>
      </c>
    </row>
    <row r="97" spans="1:13" ht="26.4" customHeight="1">
      <c r="A97" s="783"/>
      <c r="B97" s="783"/>
      <c r="C97" s="784"/>
      <c r="D97" s="784"/>
      <c r="E97" s="785"/>
      <c r="F97" s="784"/>
      <c r="G97" s="785"/>
      <c r="H97" s="784"/>
      <c r="I97" s="806" t="str">
        <f t="shared" si="5"/>
        <v/>
      </c>
      <c r="J97" s="782" t="str">
        <f t="shared" si="6"/>
        <v/>
      </c>
      <c r="K97" s="782" t="str">
        <f t="shared" si="7"/>
        <v/>
      </c>
      <c r="L97" s="782" t="str">
        <f t="shared" si="8"/>
        <v/>
      </c>
      <c r="M97" s="782" t="str">
        <f t="shared" si="9"/>
        <v/>
      </c>
    </row>
    <row r="98" spans="1:13" ht="26.4" customHeight="1">
      <c r="A98" s="783"/>
      <c r="B98" s="783"/>
      <c r="C98" s="784"/>
      <c r="D98" s="784"/>
      <c r="E98" s="785"/>
      <c r="F98" s="784"/>
      <c r="G98" s="785"/>
      <c r="H98" s="784"/>
      <c r="I98" s="806" t="str">
        <f t="shared" si="5"/>
        <v/>
      </c>
      <c r="J98" s="782" t="str">
        <f t="shared" si="6"/>
        <v/>
      </c>
      <c r="K98" s="782" t="str">
        <f t="shared" si="7"/>
        <v/>
      </c>
      <c r="L98" s="782" t="str">
        <f t="shared" si="8"/>
        <v/>
      </c>
      <c r="M98" s="782" t="str">
        <f t="shared" si="9"/>
        <v/>
      </c>
    </row>
    <row r="99" spans="1:13" ht="26.4" customHeight="1">
      <c r="A99" s="783"/>
      <c r="B99" s="783"/>
      <c r="C99" s="784"/>
      <c r="D99" s="784"/>
      <c r="E99" s="785"/>
      <c r="F99" s="784"/>
      <c r="G99" s="785"/>
      <c r="H99" s="784"/>
      <c r="I99" s="806" t="str">
        <f t="shared" si="5"/>
        <v/>
      </c>
      <c r="J99" s="782" t="str">
        <f t="shared" si="6"/>
        <v/>
      </c>
      <c r="K99" s="782" t="str">
        <f t="shared" si="7"/>
        <v/>
      </c>
      <c r="L99" s="782" t="str">
        <f t="shared" si="8"/>
        <v/>
      </c>
      <c r="M99" s="782" t="str">
        <f t="shared" si="9"/>
        <v/>
      </c>
    </row>
    <row r="100" spans="1:13" ht="26.4" customHeight="1">
      <c r="A100" s="783"/>
      <c r="B100" s="783"/>
      <c r="C100" s="784"/>
      <c r="D100" s="784"/>
      <c r="E100" s="785"/>
      <c r="F100" s="785"/>
      <c r="G100" s="785"/>
      <c r="H100" s="784"/>
      <c r="I100" s="806" t="str">
        <f t="shared" si="5"/>
        <v/>
      </c>
      <c r="J100" s="782" t="str">
        <f t="shared" si="6"/>
        <v/>
      </c>
      <c r="K100" s="782" t="str">
        <f t="shared" si="7"/>
        <v/>
      </c>
      <c r="L100" s="782" t="str">
        <f t="shared" si="8"/>
        <v/>
      </c>
      <c r="M100" s="782" t="str">
        <f t="shared" si="9"/>
        <v/>
      </c>
    </row>
    <row r="101" spans="1:13" ht="26.4" customHeight="1">
      <c r="A101" s="783"/>
      <c r="B101" s="783"/>
      <c r="C101" s="784"/>
      <c r="D101" s="784"/>
      <c r="E101" s="785"/>
      <c r="F101" s="784"/>
      <c r="G101" s="785"/>
      <c r="H101" s="784"/>
      <c r="I101" s="806" t="str">
        <f t="shared" si="5"/>
        <v/>
      </c>
      <c r="J101" s="782" t="str">
        <f t="shared" si="6"/>
        <v/>
      </c>
      <c r="K101" s="782" t="str">
        <f t="shared" si="7"/>
        <v/>
      </c>
      <c r="L101" s="782" t="str">
        <f t="shared" si="8"/>
        <v/>
      </c>
      <c r="M101" s="782" t="str">
        <f t="shared" si="9"/>
        <v/>
      </c>
    </row>
    <row r="102" spans="1:13" ht="26.4" customHeight="1">
      <c r="A102" s="783"/>
      <c r="B102" s="783"/>
      <c r="C102" s="784"/>
      <c r="D102" s="784"/>
      <c r="E102" s="785"/>
      <c r="F102" s="784"/>
      <c r="G102" s="785"/>
      <c r="H102" s="784"/>
      <c r="I102" s="806" t="str">
        <f t="shared" si="5"/>
        <v/>
      </c>
      <c r="J102" s="782" t="str">
        <f t="shared" si="6"/>
        <v/>
      </c>
      <c r="K102" s="782" t="str">
        <f t="shared" si="7"/>
        <v/>
      </c>
      <c r="L102" s="782" t="str">
        <f t="shared" si="8"/>
        <v/>
      </c>
      <c r="M102" s="782" t="str">
        <f t="shared" si="9"/>
        <v/>
      </c>
    </row>
    <row r="103" spans="1:13" ht="26.4" customHeight="1">
      <c r="A103" s="783"/>
      <c r="B103" s="783"/>
      <c r="C103" s="784"/>
      <c r="D103" s="784"/>
      <c r="E103" s="785"/>
      <c r="F103" s="784"/>
      <c r="G103" s="785"/>
      <c r="H103" s="784"/>
      <c r="I103" s="806" t="str">
        <f t="shared" si="5"/>
        <v/>
      </c>
      <c r="J103" s="782" t="str">
        <f t="shared" si="6"/>
        <v/>
      </c>
      <c r="K103" s="782" t="str">
        <f t="shared" si="7"/>
        <v/>
      </c>
      <c r="L103" s="782" t="str">
        <f t="shared" si="8"/>
        <v/>
      </c>
      <c r="M103" s="782" t="str">
        <f t="shared" si="9"/>
        <v/>
      </c>
    </row>
    <row r="104" spans="1:13" ht="26.4" customHeight="1">
      <c r="A104" s="783"/>
      <c r="B104" s="783"/>
      <c r="C104" s="784"/>
      <c r="D104" s="784"/>
      <c r="E104" s="785"/>
      <c r="F104" s="784"/>
      <c r="G104" s="785"/>
      <c r="H104" s="784"/>
      <c r="I104" s="806" t="str">
        <f t="shared" si="5"/>
        <v/>
      </c>
      <c r="J104" s="782" t="str">
        <f t="shared" si="6"/>
        <v/>
      </c>
      <c r="K104" s="782" t="str">
        <f t="shared" si="7"/>
        <v/>
      </c>
      <c r="L104" s="782" t="str">
        <f t="shared" si="8"/>
        <v/>
      </c>
      <c r="M104" s="782" t="str">
        <f t="shared" si="9"/>
        <v/>
      </c>
    </row>
    <row r="105" spans="1:13" ht="26.4" customHeight="1">
      <c r="A105" s="783"/>
      <c r="B105" s="783"/>
      <c r="C105" s="784"/>
      <c r="D105" s="784"/>
      <c r="E105" s="785"/>
      <c r="F105" s="784"/>
      <c r="G105" s="785"/>
      <c r="H105" s="784"/>
      <c r="I105" s="806" t="str">
        <f t="shared" si="5"/>
        <v/>
      </c>
      <c r="J105" s="782" t="str">
        <f t="shared" si="6"/>
        <v/>
      </c>
      <c r="K105" s="782" t="str">
        <f t="shared" si="7"/>
        <v/>
      </c>
      <c r="L105" s="782" t="str">
        <f t="shared" si="8"/>
        <v/>
      </c>
      <c r="M105" s="782" t="str">
        <f t="shared" si="9"/>
        <v/>
      </c>
    </row>
    <row r="106" spans="1:13" ht="26.4" customHeight="1">
      <c r="A106" s="783"/>
      <c r="B106" s="783"/>
      <c r="C106" s="784"/>
      <c r="D106" s="784"/>
      <c r="E106" s="785"/>
      <c r="F106" s="784"/>
      <c r="G106" s="785"/>
      <c r="H106" s="784"/>
      <c r="I106" s="806" t="str">
        <f t="shared" si="5"/>
        <v/>
      </c>
      <c r="J106" s="782" t="str">
        <f t="shared" si="6"/>
        <v/>
      </c>
      <c r="K106" s="782" t="str">
        <f t="shared" si="7"/>
        <v/>
      </c>
      <c r="L106" s="782" t="str">
        <f t="shared" si="8"/>
        <v/>
      </c>
      <c r="M106" s="782" t="str">
        <f t="shared" si="9"/>
        <v/>
      </c>
    </row>
    <row r="107" spans="1:13" ht="26.4" customHeight="1">
      <c r="A107" s="783"/>
      <c r="B107" s="783"/>
      <c r="C107" s="784"/>
      <c r="D107" s="784"/>
      <c r="E107" s="785"/>
      <c r="F107" s="784"/>
      <c r="G107" s="785"/>
      <c r="H107" s="784"/>
      <c r="I107" s="806" t="str">
        <f t="shared" si="5"/>
        <v/>
      </c>
      <c r="J107" s="782" t="str">
        <f t="shared" si="6"/>
        <v/>
      </c>
      <c r="K107" s="782" t="str">
        <f t="shared" si="7"/>
        <v/>
      </c>
      <c r="L107" s="782" t="str">
        <f t="shared" si="8"/>
        <v/>
      </c>
      <c r="M107" s="782" t="str">
        <f t="shared" si="9"/>
        <v/>
      </c>
    </row>
    <row r="108" spans="1:13" ht="26.4" customHeight="1">
      <c r="A108" s="783"/>
      <c r="B108" s="783"/>
      <c r="C108" s="784"/>
      <c r="D108" s="784"/>
      <c r="E108" s="785"/>
      <c r="F108" s="784"/>
      <c r="G108" s="785"/>
      <c r="H108" s="784"/>
      <c r="I108" s="806" t="str">
        <f t="shared" si="5"/>
        <v/>
      </c>
      <c r="J108" s="782" t="str">
        <f t="shared" si="6"/>
        <v/>
      </c>
      <c r="K108" s="782" t="str">
        <f t="shared" si="7"/>
        <v/>
      </c>
      <c r="L108" s="782" t="str">
        <f t="shared" si="8"/>
        <v/>
      </c>
      <c r="M108" s="782" t="str">
        <f t="shared" si="9"/>
        <v/>
      </c>
    </row>
    <row r="109" spans="1:13" ht="26.4" customHeight="1">
      <c r="A109" s="783"/>
      <c r="B109" s="783"/>
      <c r="C109" s="784"/>
      <c r="D109" s="784"/>
      <c r="E109" s="785"/>
      <c r="F109" s="784"/>
      <c r="G109" s="785"/>
      <c r="H109" s="784"/>
      <c r="I109" s="806" t="str">
        <f t="shared" si="5"/>
        <v/>
      </c>
      <c r="J109" s="782" t="str">
        <f t="shared" si="6"/>
        <v/>
      </c>
      <c r="K109" s="782" t="str">
        <f t="shared" si="7"/>
        <v/>
      </c>
      <c r="L109" s="782" t="str">
        <f t="shared" si="8"/>
        <v/>
      </c>
      <c r="M109" s="782" t="str">
        <f t="shared" si="9"/>
        <v/>
      </c>
    </row>
    <row r="110" spans="1:13" ht="26.4" customHeight="1">
      <c r="A110" s="783"/>
      <c r="B110" s="783"/>
      <c r="C110" s="784"/>
      <c r="D110" s="784"/>
      <c r="E110" s="785"/>
      <c r="F110" s="784"/>
      <c r="G110" s="785"/>
      <c r="H110" s="784"/>
      <c r="I110" s="806" t="str">
        <f t="shared" si="5"/>
        <v/>
      </c>
      <c r="J110" s="782" t="str">
        <f t="shared" si="6"/>
        <v/>
      </c>
      <c r="K110" s="782" t="str">
        <f t="shared" si="7"/>
        <v/>
      </c>
      <c r="L110" s="782" t="str">
        <f t="shared" si="8"/>
        <v/>
      </c>
      <c r="M110" s="782" t="str">
        <f t="shared" si="9"/>
        <v/>
      </c>
    </row>
    <row r="111" spans="1:13" ht="26.4" customHeight="1">
      <c r="A111" s="783"/>
      <c r="B111" s="783"/>
      <c r="C111" s="784"/>
      <c r="D111" s="784"/>
      <c r="E111" s="785"/>
      <c r="F111" s="784"/>
      <c r="G111" s="785"/>
      <c r="H111" s="784"/>
      <c r="I111" s="806" t="str">
        <f t="shared" si="5"/>
        <v/>
      </c>
      <c r="J111" s="782" t="str">
        <f t="shared" si="6"/>
        <v/>
      </c>
      <c r="K111" s="782" t="str">
        <f t="shared" si="7"/>
        <v/>
      </c>
      <c r="L111" s="782" t="str">
        <f t="shared" si="8"/>
        <v/>
      </c>
      <c r="M111" s="782" t="str">
        <f t="shared" si="9"/>
        <v/>
      </c>
    </row>
    <row r="112" spans="1:13" ht="26.4" customHeight="1">
      <c r="A112" s="783"/>
      <c r="B112" s="783"/>
      <c r="C112" s="784"/>
      <c r="D112" s="784"/>
      <c r="E112" s="785"/>
      <c r="F112" s="784"/>
      <c r="G112" s="785"/>
      <c r="H112" s="784"/>
      <c r="I112" s="806" t="str">
        <f t="shared" si="5"/>
        <v/>
      </c>
      <c r="J112" s="782" t="str">
        <f t="shared" si="6"/>
        <v/>
      </c>
      <c r="K112" s="782" t="str">
        <f t="shared" si="7"/>
        <v/>
      </c>
      <c r="L112" s="782" t="str">
        <f t="shared" si="8"/>
        <v/>
      </c>
      <c r="M112" s="782" t="str">
        <f t="shared" si="9"/>
        <v/>
      </c>
    </row>
    <row r="113" spans="1:13" ht="26.4" customHeight="1">
      <c r="A113" s="783"/>
      <c r="B113" s="783"/>
      <c r="C113" s="784"/>
      <c r="D113" s="784"/>
      <c r="E113" s="785"/>
      <c r="F113" s="784"/>
      <c r="G113" s="785"/>
      <c r="H113" s="784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26.4" customHeight="1">
      <c r="A114" s="783"/>
      <c r="B114" s="783"/>
      <c r="C114" s="784"/>
      <c r="D114" s="784"/>
      <c r="E114" s="785"/>
      <c r="F114" s="784"/>
      <c r="G114" s="785"/>
      <c r="H114" s="784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26.4" customHeight="1">
      <c r="A115" s="783"/>
      <c r="B115" s="783"/>
      <c r="C115" s="784"/>
      <c r="D115" s="784"/>
      <c r="E115" s="785"/>
      <c r="F115" s="784"/>
      <c r="G115" s="785"/>
      <c r="H115" s="784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26.4" customHeight="1">
      <c r="A116" s="783"/>
      <c r="B116" s="783"/>
      <c r="C116" s="784"/>
      <c r="D116" s="784"/>
      <c r="E116" s="785"/>
      <c r="F116" s="784"/>
      <c r="G116" s="785"/>
      <c r="H116" s="784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26.4" customHeight="1">
      <c r="A117" s="783"/>
      <c r="B117" s="783"/>
      <c r="C117" s="784"/>
      <c r="D117" s="784"/>
      <c r="E117" s="785"/>
      <c r="F117" s="785"/>
      <c r="G117" s="784"/>
      <c r="H117" s="784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26.4" customHeight="1">
      <c r="A118" s="783"/>
      <c r="B118" s="783"/>
      <c r="C118" s="784"/>
      <c r="D118" s="784"/>
      <c r="E118" s="785"/>
      <c r="F118" s="784"/>
      <c r="G118" s="785"/>
      <c r="H118" s="784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26.4" customHeight="1">
      <c r="A119" s="783"/>
      <c r="B119" s="783"/>
      <c r="C119" s="784"/>
      <c r="D119" s="784"/>
      <c r="E119" s="785"/>
      <c r="F119" s="784"/>
      <c r="G119" s="785"/>
      <c r="H119" s="784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26.4" customHeight="1">
      <c r="A120" s="783"/>
      <c r="B120" s="783"/>
      <c r="C120" s="784"/>
      <c r="D120" s="784"/>
      <c r="E120" s="785"/>
      <c r="F120" s="784"/>
      <c r="G120" s="785"/>
      <c r="H120" s="784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26.4" customHeight="1">
      <c r="A121" s="783"/>
      <c r="B121" s="783"/>
      <c r="C121" s="784"/>
      <c r="D121" s="784"/>
      <c r="E121" s="785"/>
      <c r="F121" s="784"/>
      <c r="G121" s="785"/>
      <c r="H121" s="784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26.4" customHeight="1">
      <c r="A122" s="783"/>
      <c r="B122" s="783"/>
      <c r="C122" s="784"/>
      <c r="D122" s="784"/>
      <c r="E122" s="785"/>
      <c r="F122" s="784"/>
      <c r="G122" s="785"/>
      <c r="H122" s="784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26.4" customHeight="1">
      <c r="A123" s="783"/>
      <c r="B123" s="783"/>
      <c r="C123" s="784"/>
      <c r="D123" s="784"/>
      <c r="E123" s="785"/>
      <c r="F123" s="784"/>
      <c r="G123" s="785"/>
      <c r="H123" s="784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26.4" customHeight="1">
      <c r="A124" s="783"/>
      <c r="B124" s="783"/>
      <c r="C124" s="784"/>
      <c r="D124" s="784"/>
      <c r="E124" s="785"/>
      <c r="F124" s="784"/>
      <c r="G124" s="785"/>
      <c r="H124" s="784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26.4" customHeight="1">
      <c r="A125" s="783"/>
      <c r="B125" s="783"/>
      <c r="C125" s="784"/>
      <c r="D125" s="784"/>
      <c r="E125" s="785"/>
      <c r="F125" s="784"/>
      <c r="G125" s="785"/>
      <c r="H125" s="784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26.4" customHeight="1">
      <c r="A126" s="783"/>
      <c r="B126" s="783"/>
      <c r="C126" s="784"/>
      <c r="D126" s="784"/>
      <c r="E126" s="785"/>
      <c r="F126" s="784"/>
      <c r="G126" s="785"/>
      <c r="H126" s="784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26.4" customHeight="1">
      <c r="A127" s="783"/>
      <c r="B127" s="783"/>
      <c r="C127" s="784"/>
      <c r="D127" s="784"/>
      <c r="E127" s="785"/>
      <c r="F127" s="784"/>
      <c r="G127" s="785"/>
      <c r="H127" s="784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26.4" customHeight="1">
      <c r="A128" s="783"/>
      <c r="B128" s="783"/>
      <c r="C128" s="784"/>
      <c r="D128" s="784"/>
      <c r="E128" s="784"/>
      <c r="F128" s="785"/>
      <c r="G128" s="784"/>
      <c r="H128" s="785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26.4" customHeight="1">
      <c r="A129" s="783"/>
      <c r="B129" s="783"/>
      <c r="C129" s="784"/>
      <c r="D129" s="784"/>
      <c r="E129" s="785"/>
      <c r="F129" s="784"/>
      <c r="G129" s="785"/>
      <c r="H129" s="784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bestFit="true" customWidth="true" style="782" width="11.8571428571429"/>
    <col min="2" max="2" bestFit="true" customWidth="true" style="782" width="33.8571428571429"/>
    <col min="3" max="4" bestFit="true" customWidth="true" style="793" width="12.8571428571429"/>
    <col min="5" max="8" bestFit="true" customWidth="true" style="788" width="13.8571428571429"/>
    <col min="9" max="16384" style="782" width="11.4285714285714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1538</v>
      </c>
      <c r="B2" s="795" t="s">
        <v>1539</v>
      </c>
      <c r="C2" s="796"/>
      <c r="D2" s="797" t="n">
        <v>500000.0</v>
      </c>
      <c r="E2" s="796"/>
      <c r="F2" s="796"/>
      <c r="G2" s="796"/>
      <c r="H2" s="797" t="n">
        <v>500000.0</v>
      </c>
      <c r="I2" s="805" t="str">
        <f>LEFT(A2,2)</f>
        <v/>
      </c>
      <c r="J2" s="782" t="str">
        <f>LEFT(A2,3)</f>
        <v/>
      </c>
      <c r="K2" s="782" t="str">
        <f>LEFT(A2,4)</f>
        <v/>
      </c>
      <c r="L2" s="782" t="str">
        <f>LEFT(A2,5)</f>
        <v/>
      </c>
      <c r="M2" s="782" t="str">
        <f>LEFT(A2,1)</f>
        <v/>
      </c>
    </row>
    <row r="3" spans="1:13" ht="13.2">
      <c r="A3" s="795" t="s">
        <v>1540</v>
      </c>
      <c r="B3" s="795" t="s">
        <v>1541</v>
      </c>
      <c r="C3" s="796"/>
      <c r="D3" s="797" t="n">
        <v>100000.0</v>
      </c>
      <c r="E3" s="796"/>
      <c r="F3" s="796"/>
      <c r="G3" s="796"/>
      <c r="H3" s="797" t="n">
        <v>100000.0</v>
      </c>
      <c r="I3" s="806" t="str">
        <f t="shared" si="0" ref="I3:I66">LEFT(A3,2)</f>
        <v/>
      </c>
      <c r="J3" s="782" t="str">
        <f t="shared" si="1" ref="J3:J66">LEFT(A3,3)</f>
        <v/>
      </c>
      <c r="K3" s="782" t="str">
        <f t="shared" si="2" ref="K3:K66">LEFT(A3,4)</f>
        <v/>
      </c>
      <c r="L3" s="782" t="str">
        <f t="shared" si="3" ref="L3:L66">LEFT(A3,5)</f>
        <v/>
      </c>
      <c r="M3" s="782" t="str">
        <f t="shared" si="4" ref="M3:M66">LEFT(A3,1)</f>
        <v/>
      </c>
    </row>
    <row r="4" spans="1:13" ht="13.2">
      <c r="A4" s="795" t="s">
        <v>1542</v>
      </c>
      <c r="B4" s="795" t="s">
        <v>1543</v>
      </c>
      <c r="C4" s="796"/>
      <c r="D4" s="797" t="n">
        <v>4604302.0</v>
      </c>
      <c r="E4" s="796"/>
      <c r="F4" s="796" t="n">
        <v>6878505.0</v>
      </c>
      <c r="G4" s="796"/>
      <c r="H4" s="797" t="n">
        <v>1.1482807E7</v>
      </c>
      <c r="I4" s="806" t="str">
        <f t="shared" si="0"/>
        <v/>
      </c>
      <c r="J4" s="782" t="str">
        <f t="shared" si="1"/>
        <v/>
      </c>
      <c r="K4" s="782" t="str">
        <f t="shared" si="2"/>
        <v/>
      </c>
      <c r="L4" s="782" t="str">
        <f t="shared" si="3"/>
        <v/>
      </c>
      <c r="M4" s="782" t="str">
        <f t="shared" si="4"/>
        <v/>
      </c>
    </row>
    <row r="5" spans="1:13" ht="13.2">
      <c r="A5" s="795" t="s">
        <v>1544</v>
      </c>
      <c r="B5" s="795" t="s">
        <v>1545</v>
      </c>
      <c r="C5" s="796"/>
      <c r="D5" s="797" t="n">
        <v>6878505.0</v>
      </c>
      <c r="E5" s="796" t="n">
        <v>6878505.0</v>
      </c>
      <c r="F5" s="796"/>
      <c r="G5" s="796"/>
      <c r="H5" s="797"/>
      <c r="I5" s="806" t="str">
        <f t="shared" si="0"/>
        <v/>
      </c>
      <c r="J5" s="782" t="str">
        <f t="shared" si="1"/>
        <v/>
      </c>
      <c r="K5" s="782" t="str">
        <f t="shared" si="2"/>
        <v/>
      </c>
      <c r="L5" s="782" t="str">
        <f t="shared" si="3"/>
        <v/>
      </c>
      <c r="M5" s="782" t="str">
        <f t="shared" si="4"/>
        <v/>
      </c>
    </row>
    <row r="6" spans="1:13" s="787" customFormat="1" ht="13.2">
      <c r="A6" s="795" t="s">
        <v>1546</v>
      </c>
      <c r="B6" s="795" t="s">
        <v>1547</v>
      </c>
      <c r="C6" s="796" t="n">
        <v>1.60271186E8</v>
      </c>
      <c r="D6" s="797"/>
      <c r="E6" s="796"/>
      <c r="F6" s="796"/>
      <c r="G6" s="796" t="n">
        <v>1.60271186E8</v>
      </c>
      <c r="H6" s="797"/>
      <c r="I6" s="806" t="str">
        <f t="shared" si="0"/>
        <v/>
      </c>
      <c r="J6" s="782" t="str">
        <f t="shared" si="1"/>
        <v/>
      </c>
      <c r="K6" s="782" t="str">
        <f t="shared" si="2"/>
        <v/>
      </c>
      <c r="L6" s="782" t="str">
        <f t="shared" si="3"/>
        <v/>
      </c>
      <c r="M6" s="782" t="str">
        <f t="shared" si="4"/>
        <v/>
      </c>
    </row>
    <row r="7" spans="1:13" ht="13.2">
      <c r="A7" s="795" t="s">
        <v>1548</v>
      </c>
      <c r="B7" s="795" t="s">
        <v>1549</v>
      </c>
      <c r="C7" s="796" t="n">
        <v>2415000.0</v>
      </c>
      <c r="D7" s="797"/>
      <c r="E7" s="796"/>
      <c r="F7" s="796"/>
      <c r="G7" s="796" t="n">
        <v>2415000.0</v>
      </c>
      <c r="H7" s="797"/>
      <c r="I7" s="806" t="str">
        <f t="shared" si="0"/>
        <v/>
      </c>
      <c r="J7" s="782" t="str">
        <f t="shared" si="1"/>
        <v/>
      </c>
      <c r="K7" s="782" t="str">
        <f t="shared" si="2"/>
        <v/>
      </c>
      <c r="L7" s="782" t="str">
        <f t="shared" si="3"/>
        <v/>
      </c>
      <c r="M7" s="782" t="str">
        <f t="shared" si="4"/>
        <v/>
      </c>
    </row>
    <row r="8" spans="1:15" ht="13.2">
      <c r="A8" s="795" t="s">
        <v>1550</v>
      </c>
      <c r="B8" s="795" t="s">
        <v>1551</v>
      </c>
      <c r="C8" s="796" t="n">
        <v>1538547.0</v>
      </c>
      <c r="D8" s="797"/>
      <c r="E8" s="796"/>
      <c r="F8" s="796"/>
      <c r="G8" s="796" t="n">
        <v>1538547.0</v>
      </c>
      <c r="H8" s="797"/>
      <c r="I8" s="806" t="str">
        <f t="shared" si="0"/>
        <v/>
      </c>
      <c r="J8" s="782" t="str">
        <f t="shared" si="1"/>
        <v/>
      </c>
      <c r="K8" s="782" t="str">
        <f t="shared" si="2"/>
        <v/>
      </c>
      <c r="L8" s="782" t="str">
        <f t="shared" si="3"/>
        <v/>
      </c>
      <c r="M8" s="782" t="str">
        <f t="shared" si="4"/>
        <v/>
      </c>
      <c r="O8" s="788"/>
    </row>
    <row r="9" spans="1:13" ht="13.2">
      <c r="A9" s="795" t="s">
        <v>1552</v>
      </c>
      <c r="B9" s="795" t="s">
        <v>1553</v>
      </c>
      <c r="C9" s="797" t="n">
        <v>3601695.0</v>
      </c>
      <c r="D9" s="796"/>
      <c r="E9" s="797"/>
      <c r="F9" s="796"/>
      <c r="G9" s="797" t="n">
        <v>3601695.0</v>
      </c>
      <c r="H9" s="796"/>
      <c r="I9" s="806" t="str">
        <f t="shared" si="0"/>
        <v/>
      </c>
      <c r="J9" s="782" t="str">
        <f t="shared" si="1"/>
        <v/>
      </c>
      <c r="K9" s="782" t="str">
        <f t="shared" si="2"/>
        <v/>
      </c>
      <c r="L9" s="782" t="str">
        <f t="shared" si="3"/>
        <v/>
      </c>
      <c r="M9" s="782" t="str">
        <f t="shared" si="4"/>
        <v/>
      </c>
    </row>
    <row r="10" spans="1:13" s="787" customFormat="1" ht="13.2">
      <c r="A10" s="795" t="s">
        <v>1554</v>
      </c>
      <c r="B10" s="795" t="s">
        <v>1555</v>
      </c>
      <c r="C10" s="797"/>
      <c r="D10" s="796" t="n">
        <v>7.0204237E7</v>
      </c>
      <c r="E10" s="796"/>
      <c r="F10" s="796" t="n">
        <v>5.2889491E7</v>
      </c>
      <c r="G10" s="797"/>
      <c r="H10" s="796" t="n">
        <v>1.23093728E8</v>
      </c>
      <c r="I10" s="806" t="str">
        <f t="shared" si="0"/>
        <v/>
      </c>
      <c r="J10" s="782" t="str">
        <f t="shared" si="1"/>
        <v/>
      </c>
      <c r="K10" s="782" t="str">
        <f t="shared" si="2"/>
        <v/>
      </c>
      <c r="L10" s="782" t="str">
        <f t="shared" si="3"/>
        <v/>
      </c>
      <c r="M10" s="782" t="str">
        <f t="shared" si="4"/>
        <v/>
      </c>
    </row>
    <row r="11" spans="1:13" ht="13.2">
      <c r="A11" s="795" t="s">
        <v>1556</v>
      </c>
      <c r="B11" s="795" t="s">
        <v>1557</v>
      </c>
      <c r="C11" s="797"/>
      <c r="D11" s="796" t="n">
        <v>491256.0</v>
      </c>
      <c r="E11" s="796"/>
      <c r="F11" s="796" t="n">
        <v>436814.0</v>
      </c>
      <c r="G11" s="797"/>
      <c r="H11" s="796" t="n">
        <v>928070.0</v>
      </c>
      <c r="I11" s="806" t="str">
        <f t="shared" si="0"/>
        <v/>
      </c>
      <c r="J11" s="782" t="str">
        <f t="shared" si="1"/>
        <v/>
      </c>
      <c r="K11" s="782" t="str">
        <f t="shared" si="2"/>
        <v/>
      </c>
      <c r="L11" s="782" t="str">
        <f t="shared" si="3"/>
        <v/>
      </c>
      <c r="M11" s="782" t="str">
        <f t="shared" si="4"/>
        <v/>
      </c>
    </row>
    <row r="12" spans="1:13" ht="13.2">
      <c r="A12" s="795" t="s">
        <v>1558</v>
      </c>
      <c r="B12" s="795" t="s">
        <v>1559</v>
      </c>
      <c r="C12" s="797"/>
      <c r="D12" s="796" t="n">
        <v>1610991.0</v>
      </c>
      <c r="E12" s="796"/>
      <c r="F12" s="796" t="n">
        <v>1443915.0</v>
      </c>
      <c r="G12" s="797"/>
      <c r="H12" s="796" t="n">
        <v>3054906.0</v>
      </c>
      <c r="I12" s="806" t="str">
        <f t="shared" si="0"/>
        <v/>
      </c>
      <c r="J12" s="782" t="str">
        <f t="shared" si="1"/>
        <v/>
      </c>
      <c r="K12" s="782" t="str">
        <f t="shared" si="2"/>
        <v/>
      </c>
      <c r="L12" s="782" t="str">
        <f t="shared" si="3"/>
        <v/>
      </c>
      <c r="M12" s="782" t="str">
        <f t="shared" si="4"/>
        <v/>
      </c>
    </row>
    <row r="13" spans="1:13" ht="13.2">
      <c r="A13" s="795" t="s">
        <v>1560</v>
      </c>
      <c r="B13" s="795" t="s">
        <v>1561</v>
      </c>
      <c r="C13" s="796" t="n">
        <v>1800000.0</v>
      </c>
      <c r="D13" s="796"/>
      <c r="E13" s="797" t="n">
        <v>2500000.0</v>
      </c>
      <c r="F13" s="796" t="n">
        <v>1800000.0</v>
      </c>
      <c r="G13" s="797" t="n">
        <v>2500000.0</v>
      </c>
      <c r="H13" s="796"/>
      <c r="I13" s="806" t="str">
        <f t="shared" si="0"/>
        <v/>
      </c>
      <c r="J13" s="782" t="str">
        <f t="shared" si="1"/>
        <v/>
      </c>
      <c r="K13" s="782" t="str">
        <f t="shared" si="2"/>
        <v/>
      </c>
      <c r="L13" s="782" t="str">
        <f t="shared" si="3"/>
        <v/>
      </c>
      <c r="M13" s="782" t="str">
        <f t="shared" si="4"/>
        <v/>
      </c>
    </row>
    <row r="14" spans="1:13" s="787" customFormat="1" ht="13.2">
      <c r="A14" s="795" t="s">
        <v>1562</v>
      </c>
      <c r="B14" s="795" t="s">
        <v>1563</v>
      </c>
      <c r="C14" s="797" t="n">
        <v>112000.0</v>
      </c>
      <c r="D14" s="796" t="n">
        <v>3101723.0</v>
      </c>
      <c r="E14" s="796" t="n">
        <v>2.16195687E8</v>
      </c>
      <c r="F14" s="796" t="n">
        <v>2.24583401E8</v>
      </c>
      <c r="G14" s="797"/>
      <c r="H14" s="796" t="n">
        <v>1.1377437E7</v>
      </c>
      <c r="I14" s="806" t="str">
        <f t="shared" si="0"/>
        <v/>
      </c>
      <c r="J14" s="782" t="str">
        <f t="shared" si="1"/>
        <v/>
      </c>
      <c r="K14" s="782" t="str">
        <f t="shared" si="2"/>
        <v/>
      </c>
      <c r="L14" s="782" t="str">
        <f t="shared" si="3"/>
        <v/>
      </c>
      <c r="M14" s="782" t="str">
        <f t="shared" si="4"/>
        <v/>
      </c>
    </row>
    <row r="15" spans="1:13" s="787" customFormat="1" ht="13.2">
      <c r="A15" s="795" t="s">
        <v>1564</v>
      </c>
      <c r="B15" s="795" t="s">
        <v>1565</v>
      </c>
      <c r="C15" s="797"/>
      <c r="D15" s="796"/>
      <c r="E15" s="797" t="n">
        <v>3.07818915E8</v>
      </c>
      <c r="F15" s="796" t="n">
        <v>3.07818915E8</v>
      </c>
      <c r="G15" s="797"/>
      <c r="H15" s="796"/>
      <c r="I15" s="806" t="str">
        <f t="shared" si="0"/>
        <v/>
      </c>
      <c r="J15" s="782" t="str">
        <f t="shared" si="1"/>
        <v/>
      </c>
      <c r="K15" s="782" t="str">
        <f t="shared" si="2"/>
        <v/>
      </c>
      <c r="L15" s="782" t="str">
        <f t="shared" si="3"/>
        <v/>
      </c>
      <c r="M15" s="782" t="str">
        <f t="shared" si="4"/>
        <v/>
      </c>
    </row>
    <row r="16" spans="1:13" s="787" customFormat="1" ht="13.2">
      <c r="A16" s="795" t="s">
        <v>1566</v>
      </c>
      <c r="B16" s="795" t="s">
        <v>1567</v>
      </c>
      <c r="C16" s="797"/>
      <c r="D16" s="796" t="n">
        <v>1110000.0</v>
      </c>
      <c r="E16" s="796" t="n">
        <v>1.321E7</v>
      </c>
      <c r="F16" s="796" t="n">
        <v>1.308E7</v>
      </c>
      <c r="G16" s="797"/>
      <c r="H16" s="796" t="n">
        <v>980000.0</v>
      </c>
      <c r="I16" s="806" t="str">
        <f t="shared" si="0"/>
        <v/>
      </c>
      <c r="J16" s="782" t="str">
        <f t="shared" si="1"/>
        <v/>
      </c>
      <c r="K16" s="782" t="str">
        <f t="shared" si="2"/>
        <v/>
      </c>
      <c r="L16" s="782" t="str">
        <f t="shared" si="3"/>
        <v/>
      </c>
      <c r="M16" s="782" t="str">
        <f t="shared" si="4"/>
        <v/>
      </c>
    </row>
    <row r="17" spans="1:13" s="787" customFormat="1" ht="13.2">
      <c r="A17" s="795" t="s">
        <v>1568</v>
      </c>
      <c r="B17" s="795" t="s">
        <v>1569</v>
      </c>
      <c r="C17" s="797"/>
      <c r="D17" s="796" t="n">
        <v>88200.0</v>
      </c>
      <c r="E17" s="797" t="n">
        <v>317520.0</v>
      </c>
      <c r="F17" s="797" t="n">
        <v>291060.0</v>
      </c>
      <c r="G17" s="797"/>
      <c r="H17" s="796" t="n">
        <v>61740.0</v>
      </c>
      <c r="I17" s="806" t="str">
        <f t="shared" si="0"/>
        <v/>
      </c>
      <c r="J17" s="782" t="str">
        <f t="shared" si="1"/>
        <v/>
      </c>
      <c r="K17" s="782" t="str">
        <f t="shared" si="2"/>
        <v/>
      </c>
      <c r="L17" s="782" t="str">
        <f t="shared" si="3"/>
        <v/>
      </c>
      <c r="M17" s="782" t="str">
        <f t="shared" si="4"/>
        <v/>
      </c>
    </row>
    <row r="18" spans="1:13" s="787" customFormat="1" ht="13.2">
      <c r="A18" s="795" t="s">
        <v>1570</v>
      </c>
      <c r="B18" s="795" t="s">
        <v>1571</v>
      </c>
      <c r="C18" s="797"/>
      <c r="D18" s="796" t="n">
        <v>12600.0</v>
      </c>
      <c r="E18" s="797" t="n">
        <v>109620.0</v>
      </c>
      <c r="F18" s="796" t="n">
        <v>124740.0</v>
      </c>
      <c r="G18" s="797"/>
      <c r="H18" s="796" t="n">
        <v>27720.0</v>
      </c>
      <c r="I18" s="806" t="str">
        <f t="shared" si="0"/>
        <v/>
      </c>
      <c r="J18" s="782" t="str">
        <f t="shared" si="1"/>
        <v/>
      </c>
      <c r="K18" s="782" t="str">
        <f t="shared" si="2"/>
        <v/>
      </c>
      <c r="L18" s="782" t="str">
        <f t="shared" si="3"/>
        <v/>
      </c>
      <c r="M18" s="782" t="str">
        <f t="shared" si="4"/>
        <v/>
      </c>
    </row>
    <row r="19" spans="1:13" ht="13.2">
      <c r="A19" s="795" t="s">
        <v>1572</v>
      </c>
      <c r="B19" s="795" t="s">
        <v>1573</v>
      </c>
      <c r="C19" s="797"/>
      <c r="D19" s="796" t="n">
        <v>527791.0</v>
      </c>
      <c r="E19" s="796" t="n">
        <v>2073396.0</v>
      </c>
      <c r="F19" s="796" t="n">
        <v>1965558.0</v>
      </c>
      <c r="G19" s="797"/>
      <c r="H19" s="796" t="n">
        <v>419953.0</v>
      </c>
      <c r="I19" s="806" t="str">
        <f t="shared" si="0"/>
        <v/>
      </c>
      <c r="J19" s="782" t="str">
        <f t="shared" si="1"/>
        <v/>
      </c>
      <c r="K19" s="782" t="str">
        <f t="shared" si="2"/>
        <v/>
      </c>
      <c r="L19" s="782" t="str">
        <f t="shared" si="3"/>
        <v/>
      </c>
      <c r="M19" s="782" t="str">
        <f t="shared" si="4"/>
        <v/>
      </c>
    </row>
    <row r="20" spans="1:13" ht="13.2">
      <c r="A20" s="795" t="s">
        <v>1574</v>
      </c>
      <c r="B20" s="795" t="s">
        <v>1575</v>
      </c>
      <c r="C20" s="797"/>
      <c r="D20" s="796" t="n">
        <v>4963975.0</v>
      </c>
      <c r="E20" s="797"/>
      <c r="F20" s="796" t="n">
        <v>500000.0</v>
      </c>
      <c r="G20" s="797"/>
      <c r="H20" s="796" t="n">
        <v>5463975.0</v>
      </c>
      <c r="I20" s="806" t="str">
        <f t="shared" si="0"/>
        <v/>
      </c>
      <c r="J20" s="782" t="str">
        <f t="shared" si="1"/>
        <v/>
      </c>
      <c r="K20" s="782" t="str">
        <f t="shared" si="2"/>
        <v/>
      </c>
      <c r="L20" s="782" t="str">
        <f t="shared" si="3"/>
        <v/>
      </c>
      <c r="M20" s="782" t="str">
        <f t="shared" si="4"/>
        <v/>
      </c>
    </row>
    <row r="21" spans="1:13" ht="13.2">
      <c r="A21" s="795" t="s">
        <v>1576</v>
      </c>
      <c r="B21" s="795" t="s">
        <v>1577</v>
      </c>
      <c r="C21" s="797"/>
      <c r="D21" s="796" t="n">
        <v>2081922.0</v>
      </c>
      <c r="E21" s="796"/>
      <c r="F21" s="796" t="n">
        <v>1631700.0</v>
      </c>
      <c r="G21" s="797"/>
      <c r="H21" s="796" t="n">
        <v>3713622.0</v>
      </c>
      <c r="I21" s="806" t="str">
        <f t="shared" si="0"/>
        <v/>
      </c>
      <c r="J21" s="782" t="str">
        <f t="shared" si="1"/>
        <v/>
      </c>
      <c r="K21" s="782" t="str">
        <f t="shared" si="2"/>
        <v/>
      </c>
      <c r="L21" s="782" t="str">
        <f t="shared" si="3"/>
        <v/>
      </c>
      <c r="M21" s="782" t="str">
        <f t="shared" si="4"/>
        <v/>
      </c>
    </row>
    <row r="22" spans="1:13" ht="13.2">
      <c r="A22" s="795" t="s">
        <v>1578</v>
      </c>
      <c r="B22" s="795" t="s">
        <v>1579</v>
      </c>
      <c r="C22" s="797"/>
      <c r="D22" s="796"/>
      <c r="E22" s="796" t="n">
        <v>4.6955429E7</v>
      </c>
      <c r="F22" s="796" t="n">
        <v>4.6955429E7</v>
      </c>
      <c r="G22" s="797"/>
      <c r="H22" s="796"/>
      <c r="I22" s="806" t="str">
        <f t="shared" si="0"/>
        <v/>
      </c>
      <c r="J22" s="782" t="str">
        <f t="shared" si="1"/>
        <v/>
      </c>
      <c r="K22" s="782" t="str">
        <f t="shared" si="2"/>
        <v/>
      </c>
      <c r="L22" s="782" t="str">
        <f t="shared" si="3"/>
        <v/>
      </c>
      <c r="M22" s="782" t="str">
        <f t="shared" si="4"/>
        <v/>
      </c>
    </row>
    <row r="23" spans="1:13" ht="13.2">
      <c r="A23" s="795" t="s">
        <v>1580</v>
      </c>
      <c r="B23" s="795" t="s">
        <v>1581</v>
      </c>
      <c r="C23" s="797"/>
      <c r="D23" s="796"/>
      <c r="E23" s="796" t="n">
        <v>1.5872155E7</v>
      </c>
      <c r="F23" s="796" t="n">
        <v>1.895595E7</v>
      </c>
      <c r="G23" s="797"/>
      <c r="H23" s="796" t="n">
        <v>3083795.0</v>
      </c>
      <c r="I23" s="806" t="str">
        <f t="shared" si="0"/>
        <v/>
      </c>
      <c r="J23" s="782" t="str">
        <f t="shared" si="1"/>
        <v/>
      </c>
      <c r="K23" s="782" t="str">
        <f t="shared" si="2"/>
        <v/>
      </c>
      <c r="L23" s="782" t="str">
        <f t="shared" si="3"/>
        <v/>
      </c>
      <c r="M23" s="782" t="str">
        <f t="shared" si="4"/>
        <v/>
      </c>
    </row>
    <row r="24" spans="1:13" ht="13.2">
      <c r="A24" s="795" t="s">
        <v>1659</v>
      </c>
      <c r="B24" s="795" t="s">
        <v>1660</v>
      </c>
      <c r="C24" s="797" t="n">
        <v>150242.0</v>
      </c>
      <c r="D24" s="796"/>
      <c r="E24" s="796" t="n">
        <v>1327632.0</v>
      </c>
      <c r="F24" s="796" t="n">
        <v>1477874.0</v>
      </c>
      <c r="G24" s="797"/>
      <c r="H24" s="796"/>
      <c r="I24" s="806" t="str">
        <f t="shared" si="0"/>
        <v/>
      </c>
      <c r="J24" s="782" t="str">
        <f t="shared" si="1"/>
        <v/>
      </c>
      <c r="K24" s="782" t="str">
        <f t="shared" si="2"/>
        <v/>
      </c>
      <c r="L24" s="782" t="str">
        <f t="shared" si="3"/>
        <v/>
      </c>
      <c r="M24" s="782" t="str">
        <f t="shared" si="4"/>
        <v/>
      </c>
    </row>
    <row r="25" spans="1:13" ht="13.2">
      <c r="A25" s="795" t="s">
        <v>1582</v>
      </c>
      <c r="B25" s="795" t="s">
        <v>1583</v>
      </c>
      <c r="C25" s="796"/>
      <c r="D25" s="796"/>
      <c r="E25" s="796" t="n">
        <v>2.8484122E7</v>
      </c>
      <c r="F25" s="797" t="n">
        <v>2.8484122E7</v>
      </c>
      <c r="G25" s="796"/>
      <c r="H25" s="797"/>
      <c r="I25" s="806" t="str">
        <f t="shared" si="0"/>
        <v/>
      </c>
      <c r="J25" s="782" t="str">
        <f t="shared" si="1"/>
        <v/>
      </c>
      <c r="K25" s="782" t="str">
        <f t="shared" si="2"/>
        <v/>
      </c>
      <c r="L25" s="782" t="str">
        <f t="shared" si="3"/>
        <v/>
      </c>
      <c r="M25" s="782" t="str">
        <f t="shared" si="4"/>
        <v/>
      </c>
    </row>
    <row r="26" spans="1:13" ht="13.2">
      <c r="A26" s="795" t="s">
        <v>1584</v>
      </c>
      <c r="B26" s="795" t="s">
        <v>1585</v>
      </c>
      <c r="C26" s="796"/>
      <c r="D26" s="797" t="n">
        <v>47710.0</v>
      </c>
      <c r="E26" s="796" t="n">
        <v>226960.0</v>
      </c>
      <c r="F26" s="797" t="n">
        <v>199400.0</v>
      </c>
      <c r="G26" s="796"/>
      <c r="H26" s="797" t="n">
        <v>20150.0</v>
      </c>
      <c r="I26" s="806" t="str">
        <f t="shared" si="0"/>
        <v/>
      </c>
      <c r="J26" s="782" t="str">
        <f t="shared" si="1"/>
        <v/>
      </c>
      <c r="K26" s="782" t="str">
        <f t="shared" si="2"/>
        <v/>
      </c>
      <c r="L26" s="782" t="str">
        <f t="shared" si="3"/>
        <v/>
      </c>
      <c r="M26" s="782" t="str">
        <f t="shared" si="4"/>
        <v/>
      </c>
    </row>
    <row r="27" spans="1:13" ht="13.2">
      <c r="A27" s="795" t="s">
        <v>1586</v>
      </c>
      <c r="B27" s="795" t="s">
        <v>1587</v>
      </c>
      <c r="C27" s="796" t="n">
        <v>26120.0</v>
      </c>
      <c r="D27" s="797"/>
      <c r="E27" s="796" t="n">
        <v>1463978.0</v>
      </c>
      <c r="F27" s="797" t="n">
        <v>1485600.0</v>
      </c>
      <c r="G27" s="796" t="n">
        <v>4498.0</v>
      </c>
      <c r="H27" s="797"/>
      <c r="I27" s="806" t="str">
        <f t="shared" si="0"/>
        <v/>
      </c>
      <c r="J27" s="782" t="str">
        <f t="shared" si="1"/>
        <v/>
      </c>
      <c r="K27" s="782" t="str">
        <f t="shared" si="2"/>
        <v/>
      </c>
      <c r="L27" s="782" t="str">
        <f t="shared" si="3"/>
        <v/>
      </c>
      <c r="M27" s="782" t="str">
        <f t="shared" si="4"/>
        <v/>
      </c>
    </row>
    <row r="28" spans="1:13" ht="13.2">
      <c r="A28" s="795" t="s">
        <v>1588</v>
      </c>
      <c r="B28" s="795" t="s">
        <v>1589</v>
      </c>
      <c r="C28" s="796" t="n">
        <v>400.0</v>
      </c>
      <c r="D28" s="797"/>
      <c r="E28" s="796" t="n">
        <v>27400.0</v>
      </c>
      <c r="F28" s="797" t="n">
        <v>31800.0</v>
      </c>
      <c r="G28" s="796"/>
      <c r="H28" s="797" t="n">
        <v>4000.0</v>
      </c>
      <c r="I28" s="806" t="str">
        <f t="shared" si="0"/>
        <v/>
      </c>
      <c r="J28" s="782" t="str">
        <f t="shared" si="1"/>
        <v/>
      </c>
      <c r="K28" s="782" t="str">
        <f t="shared" si="2"/>
        <v/>
      </c>
      <c r="L28" s="782" t="str">
        <f t="shared" si="3"/>
        <v/>
      </c>
      <c r="M28" s="782" t="str">
        <f t="shared" si="4"/>
        <v/>
      </c>
    </row>
    <row r="29" spans="1:13" ht="13.2">
      <c r="A29" s="795" t="s">
        <v>1590</v>
      </c>
      <c r="B29" s="795" t="s">
        <v>1591</v>
      </c>
      <c r="C29" s="796" t="n">
        <v>18065.0</v>
      </c>
      <c r="D29" s="797"/>
      <c r="E29" s="796" t="n">
        <v>350328.0</v>
      </c>
      <c r="F29" s="797" t="n">
        <v>421200.0</v>
      </c>
      <c r="G29" s="796"/>
      <c r="H29" s="797" t="n">
        <v>52807.0</v>
      </c>
      <c r="I29" s="806" t="str">
        <f t="shared" si="0"/>
        <v/>
      </c>
      <c r="J29" s="782" t="str">
        <f t="shared" si="1"/>
        <v/>
      </c>
      <c r="K29" s="782" t="str">
        <f t="shared" si="2"/>
        <v/>
      </c>
      <c r="L29" s="782" t="str">
        <f t="shared" si="3"/>
        <v/>
      </c>
      <c r="M29" s="782" t="str">
        <f t="shared" si="4"/>
        <v/>
      </c>
    </row>
    <row r="30" spans="1:13" ht="13.2">
      <c r="A30" s="795" t="s">
        <v>1594</v>
      </c>
      <c r="B30" s="795" t="s">
        <v>1595</v>
      </c>
      <c r="C30" s="796"/>
      <c r="D30" s="797" t="n">
        <v>3.55E7</v>
      </c>
      <c r="E30" s="796" t="n">
        <v>3.1E7</v>
      </c>
      <c r="F30" s="797"/>
      <c r="G30" s="796"/>
      <c r="H30" s="797" t="n">
        <v>4500000.0</v>
      </c>
      <c r="I30" s="806" t="str">
        <f t="shared" si="0"/>
        <v/>
      </c>
      <c r="J30" s="782" t="str">
        <f t="shared" si="1"/>
        <v/>
      </c>
      <c r="K30" s="782" t="str">
        <f t="shared" si="2"/>
        <v/>
      </c>
      <c r="L30" s="782" t="str">
        <f t="shared" si="3"/>
        <v/>
      </c>
      <c r="M30" s="782" t="str">
        <f t="shared" si="4"/>
        <v/>
      </c>
    </row>
    <row r="31" spans="1:13" ht="13.2">
      <c r="A31" s="795" t="s">
        <v>1596</v>
      </c>
      <c r="B31" s="795" t="s">
        <v>1597</v>
      </c>
      <c r="C31" s="796"/>
      <c r="D31" s="797" t="n">
        <v>4.182433E7</v>
      </c>
      <c r="E31" s="796" t="n">
        <v>3.12E7</v>
      </c>
      <c r="F31" s="797"/>
      <c r="G31" s="796"/>
      <c r="H31" s="797" t="n">
        <v>1.062433E7</v>
      </c>
      <c r="I31" s="806" t="str">
        <f t="shared" si="0"/>
        <v/>
      </c>
      <c r="J31" s="782" t="str">
        <f t="shared" si="1"/>
        <v/>
      </c>
      <c r="K31" s="782" t="str">
        <f t="shared" si="2"/>
        <v/>
      </c>
      <c r="L31" s="782" t="str">
        <f t="shared" si="3"/>
        <v/>
      </c>
      <c r="M31" s="782" t="str">
        <f t="shared" si="4"/>
        <v/>
      </c>
    </row>
    <row r="32" spans="1:13" ht="13.2">
      <c r="A32" s="795" t="s">
        <v>1598</v>
      </c>
      <c r="B32" s="795" t="s">
        <v>1517</v>
      </c>
      <c r="C32" s="796" t="n">
        <v>435541.0</v>
      </c>
      <c r="D32" s="797"/>
      <c r="E32" s="796" t="n">
        <v>9.5618375E7</v>
      </c>
      <c r="F32" s="797" t="n">
        <v>9.5798302E7</v>
      </c>
      <c r="G32" s="796" t="n">
        <v>255614.0</v>
      </c>
      <c r="H32" s="797"/>
      <c r="I32" s="806" t="str">
        <f t="shared" si="0"/>
        <v/>
      </c>
      <c r="J32" s="782" t="str">
        <f t="shared" si="1"/>
        <v/>
      </c>
      <c r="K32" s="782" t="str">
        <f t="shared" si="2"/>
        <v/>
      </c>
      <c r="L32" s="782" t="str">
        <f t="shared" si="3"/>
        <v/>
      </c>
      <c r="M32" s="782" t="str">
        <f t="shared" si="4"/>
        <v/>
      </c>
    </row>
    <row r="33" spans="1:13" ht="13.2">
      <c r="A33" s="795" t="s">
        <v>1599</v>
      </c>
      <c r="B33" s="795" t="s">
        <v>1600</v>
      </c>
      <c r="C33" s="796" t="n">
        <v>2764611.0</v>
      </c>
      <c r="D33" s="797"/>
      <c r="E33" s="796" t="n">
        <v>8.1638267E7</v>
      </c>
      <c r="F33" s="796" t="n">
        <v>7.9947171E7</v>
      </c>
      <c r="G33" s="796" t="n">
        <v>4455707.0</v>
      </c>
      <c r="H33" s="797"/>
      <c r="I33" s="806" t="str">
        <f t="shared" si="0"/>
        <v/>
      </c>
      <c r="J33" s="782" t="str">
        <f t="shared" si="1"/>
        <v/>
      </c>
      <c r="K33" s="782" t="str">
        <f t="shared" si="2"/>
        <v/>
      </c>
      <c r="L33" s="782" t="str">
        <f t="shared" si="3"/>
        <v/>
      </c>
      <c r="M33" s="782" t="str">
        <f t="shared" si="4"/>
        <v/>
      </c>
    </row>
    <row r="34" spans="1:13" ht="13.2">
      <c r="A34" s="795" t="s">
        <v>1601</v>
      </c>
      <c r="B34" s="795" t="s">
        <v>1602</v>
      </c>
      <c r="C34" s="796" t="n">
        <v>514135.0</v>
      </c>
      <c r="D34" s="797"/>
      <c r="E34" s="796" t="n">
        <v>1.36741708E8</v>
      </c>
      <c r="F34" s="797" t="n">
        <v>1.32225185E8</v>
      </c>
      <c r="G34" s="796" t="n">
        <v>5030658.0</v>
      </c>
      <c r="H34" s="797"/>
      <c r="I34" s="806" t="str">
        <f t="shared" si="0"/>
        <v/>
      </c>
      <c r="J34" s="782" t="str">
        <f t="shared" si="1"/>
        <v/>
      </c>
      <c r="K34" s="782" t="str">
        <f t="shared" si="2"/>
        <v/>
      </c>
      <c r="L34" s="782" t="str">
        <f t="shared" si="3"/>
        <v/>
      </c>
      <c r="M34" s="782" t="str">
        <f t="shared" si="4"/>
        <v/>
      </c>
    </row>
    <row r="35" spans="1:13" s="787" customFormat="1" ht="13.2">
      <c r="A35" s="795" t="s">
        <v>1605</v>
      </c>
      <c r="B35" s="795" t="s">
        <v>1606</v>
      </c>
      <c r="C35" s="797"/>
      <c r="D35" s="796"/>
      <c r="E35" s="797" t="n">
        <v>1.30065506E8</v>
      </c>
      <c r="F35" s="797" t="n">
        <v>3527137.0</v>
      </c>
      <c r="G35" s="797" t="n">
        <v>1.26538369E8</v>
      </c>
      <c r="H35" s="796"/>
      <c r="I35" s="806" t="str">
        <f t="shared" si="0"/>
        <v/>
      </c>
      <c r="J35" s="782" t="str">
        <f t="shared" si="1"/>
        <v/>
      </c>
      <c r="K35" s="782" t="str">
        <f t="shared" si="2"/>
        <v/>
      </c>
      <c r="L35" s="782" t="str">
        <f t="shared" si="3"/>
        <v/>
      </c>
      <c r="M35" s="782" t="str">
        <f t="shared" si="4"/>
        <v/>
      </c>
    </row>
    <row r="36" spans="1:13" ht="13.2">
      <c r="A36" s="795" t="s">
        <v>1607</v>
      </c>
      <c r="B36" s="795" t="s">
        <v>1608</v>
      </c>
      <c r="C36" s="797"/>
      <c r="D36" s="797"/>
      <c r="E36" s="797" t="n">
        <v>1800000.0</v>
      </c>
      <c r="F36" s="797" t="n">
        <v>2500000.0</v>
      </c>
      <c r="G36" s="796"/>
      <c r="H36" s="796" t="n">
        <v>700000.0</v>
      </c>
      <c r="I36" s="806" t="str">
        <f t="shared" si="0"/>
        <v/>
      </c>
      <c r="J36" s="782" t="str">
        <f t="shared" si="1"/>
        <v/>
      </c>
      <c r="K36" s="782" t="str">
        <f t="shared" si="2"/>
        <v/>
      </c>
      <c r="L36" s="782" t="str">
        <f t="shared" si="3"/>
        <v/>
      </c>
      <c r="M36" s="782" t="str">
        <f t="shared" si="4"/>
        <v/>
      </c>
    </row>
    <row r="37" spans="1:13" ht="13.2">
      <c r="A37" s="795" t="s">
        <v>1661</v>
      </c>
      <c r="B37" s="795" t="s">
        <v>1662</v>
      </c>
      <c r="C37" s="796"/>
      <c r="D37" s="797"/>
      <c r="E37" s="797" t="n">
        <v>5674578.0</v>
      </c>
      <c r="F37" s="797"/>
      <c r="G37" s="796" t="n">
        <v>5674578.0</v>
      </c>
      <c r="H37" s="797"/>
      <c r="I37" s="806" t="str">
        <f t="shared" si="0"/>
        <v/>
      </c>
      <c r="J37" s="782" t="str">
        <f t="shared" si="1"/>
        <v/>
      </c>
      <c r="K37" s="782" t="str">
        <f t="shared" si="2"/>
        <v/>
      </c>
      <c r="L37" s="782" t="str">
        <f t="shared" si="3"/>
        <v/>
      </c>
      <c r="M37" s="782" t="str">
        <f t="shared" si="4"/>
        <v/>
      </c>
    </row>
    <row r="38" spans="1:13" ht="13.2">
      <c r="A38" s="795" t="s">
        <v>1609</v>
      </c>
      <c r="B38" s="795" t="s">
        <v>1610</v>
      </c>
      <c r="C38" s="797"/>
      <c r="D38" s="796"/>
      <c r="E38" s="797" t="n">
        <v>1241709.0</v>
      </c>
      <c r="F38" s="797"/>
      <c r="G38" s="797" t="n">
        <v>1241709.0</v>
      </c>
      <c r="H38" s="796"/>
      <c r="I38" s="806" t="str">
        <f t="shared" si="0"/>
        <v/>
      </c>
      <c r="J38" s="782" t="str">
        <f t="shared" si="1"/>
        <v/>
      </c>
      <c r="K38" s="782" t="str">
        <f t="shared" si="2"/>
        <v/>
      </c>
      <c r="L38" s="782" t="str">
        <f t="shared" si="3"/>
        <v/>
      </c>
      <c r="M38" s="782" t="str">
        <f t="shared" si="4"/>
        <v/>
      </c>
    </row>
    <row r="39" spans="1:13" ht="13.2">
      <c r="A39" s="795" t="s">
        <v>1611</v>
      </c>
      <c r="B39" s="795" t="s">
        <v>1612</v>
      </c>
      <c r="C39" s="797"/>
      <c r="D39" s="796"/>
      <c r="E39" s="796" t="n">
        <v>6409141.0</v>
      </c>
      <c r="F39" s="797"/>
      <c r="G39" s="796" t="n">
        <v>6409141.0</v>
      </c>
      <c r="H39" s="796"/>
      <c r="I39" s="806" t="str">
        <f t="shared" si="0"/>
        <v/>
      </c>
      <c r="J39" s="782" t="str">
        <f t="shared" si="1"/>
        <v/>
      </c>
      <c r="K39" s="782" t="str">
        <f t="shared" si="2"/>
        <v/>
      </c>
      <c r="L39" s="782" t="str">
        <f t="shared" si="3"/>
        <v/>
      </c>
      <c r="M39" s="782" t="str">
        <f t="shared" si="4"/>
        <v/>
      </c>
    </row>
    <row r="40" spans="1:13" ht="13.2">
      <c r="A40" s="795" t="s">
        <v>1613</v>
      </c>
      <c r="B40" s="795" t="s">
        <v>1614</v>
      </c>
      <c r="C40" s="797"/>
      <c r="D40" s="796"/>
      <c r="E40" s="797" t="n">
        <v>7290000.0</v>
      </c>
      <c r="F40" s="796"/>
      <c r="G40" s="797" t="n">
        <v>7290000.0</v>
      </c>
      <c r="H40" s="796"/>
      <c r="I40" s="806" t="str">
        <f t="shared" si="0"/>
        <v/>
      </c>
      <c r="J40" s="782" t="str">
        <f t="shared" si="1"/>
        <v/>
      </c>
      <c r="K40" s="782" t="str">
        <f t="shared" si="2"/>
        <v/>
      </c>
      <c r="L40" s="782" t="str">
        <f t="shared" si="3"/>
        <v/>
      </c>
      <c r="M40" s="782" t="str">
        <f t="shared" si="4"/>
        <v/>
      </c>
    </row>
    <row r="41" spans="1:13" ht="13.2">
      <c r="A41" s="795" t="s">
        <v>1663</v>
      </c>
      <c r="B41" s="795" t="s">
        <v>1664</v>
      </c>
      <c r="C41" s="797"/>
      <c r="D41" s="797"/>
      <c r="E41" s="796" t="n">
        <v>2500000.0</v>
      </c>
      <c r="F41" s="797"/>
      <c r="G41" s="796" t="n">
        <v>2500000.0</v>
      </c>
      <c r="H41" s="796"/>
      <c r="I41" s="806" t="str">
        <f t="shared" si="0"/>
        <v/>
      </c>
      <c r="J41" s="782" t="str">
        <f t="shared" si="1"/>
        <v/>
      </c>
      <c r="K41" s="782" t="str">
        <f t="shared" si="2"/>
        <v/>
      </c>
      <c r="L41" s="782" t="str">
        <f t="shared" si="3"/>
        <v/>
      </c>
      <c r="M41" s="782" t="str">
        <f t="shared" si="4"/>
        <v/>
      </c>
    </row>
    <row r="42" spans="1:13" ht="13.2">
      <c r="A42" s="795" t="s">
        <v>1665</v>
      </c>
      <c r="B42" s="795" t="s">
        <v>1666</v>
      </c>
      <c r="C42" s="796"/>
      <c r="D42" s="797"/>
      <c r="E42" s="796" t="n">
        <v>1260000.0</v>
      </c>
      <c r="F42" s="797"/>
      <c r="G42" s="796" t="n">
        <v>1260000.0</v>
      </c>
      <c r="H42" s="797"/>
      <c r="I42" s="806" t="str">
        <f t="shared" si="0"/>
        <v/>
      </c>
      <c r="J42" s="782" t="str">
        <f t="shared" si="1"/>
        <v/>
      </c>
      <c r="K42" s="782" t="str">
        <f t="shared" si="2"/>
        <v/>
      </c>
      <c r="L42" s="782" t="str">
        <f t="shared" si="3"/>
        <v/>
      </c>
      <c r="M42" s="782" t="str">
        <f t="shared" si="4"/>
        <v/>
      </c>
    </row>
    <row r="43" spans="1:13" ht="13.2">
      <c r="A43" s="795" t="s">
        <v>1617</v>
      </c>
      <c r="B43" s="795" t="s">
        <v>1618</v>
      </c>
      <c r="C43" s="797"/>
      <c r="D43" s="797"/>
      <c r="E43" s="797" t="n">
        <v>1.05E7</v>
      </c>
      <c r="F43" s="797"/>
      <c r="G43" s="797" t="n">
        <v>1.05E7</v>
      </c>
      <c r="H43" s="796"/>
      <c r="I43" s="806" t="str">
        <f t="shared" si="0"/>
        <v/>
      </c>
      <c r="J43" s="782" t="str">
        <f t="shared" si="1"/>
        <v/>
      </c>
      <c r="K43" s="782" t="str">
        <f t="shared" si="2"/>
        <v/>
      </c>
      <c r="L43" s="782" t="str">
        <f t="shared" si="3"/>
        <v/>
      </c>
      <c r="M43" s="782" t="str">
        <f t="shared" si="4"/>
        <v/>
      </c>
    </row>
    <row r="44" spans="1:13" ht="13.2">
      <c r="A44" s="795" t="s">
        <v>1623</v>
      </c>
      <c r="B44" s="795" t="s">
        <v>1624</v>
      </c>
      <c r="C44" s="796"/>
      <c r="D44" s="797"/>
      <c r="E44" s="797" t="n">
        <v>4683870.0</v>
      </c>
      <c r="F44" s="797"/>
      <c r="G44" s="796" t="n">
        <v>4683870.0</v>
      </c>
      <c r="H44" s="796"/>
      <c r="I44" s="806" t="str">
        <f t="shared" si="0"/>
        <v/>
      </c>
      <c r="J44" s="782" t="str">
        <f t="shared" si="1"/>
        <v/>
      </c>
      <c r="K44" s="782" t="str">
        <f t="shared" si="2"/>
        <v/>
      </c>
      <c r="L44" s="782" t="str">
        <f t="shared" si="3"/>
        <v/>
      </c>
      <c r="M44" s="782" t="str">
        <f t="shared" si="4"/>
        <v/>
      </c>
    </row>
    <row r="45" spans="1:13" ht="13.2">
      <c r="A45" s="795" t="s">
        <v>1667</v>
      </c>
      <c r="B45" s="795" t="s">
        <v>1668</v>
      </c>
      <c r="C45" s="796"/>
      <c r="D45" s="797"/>
      <c r="E45" s="797" t="n">
        <v>1.05E7</v>
      </c>
      <c r="F45" s="797" t="n">
        <v>330792.0</v>
      </c>
      <c r="G45" s="796" t="n">
        <v>1.0169208E7</v>
      </c>
      <c r="H45" s="797"/>
      <c r="I45" s="806" t="str">
        <f t="shared" si="0"/>
        <v/>
      </c>
      <c r="J45" s="782" t="str">
        <f t="shared" si="1"/>
        <v/>
      </c>
      <c r="K45" s="782" t="str">
        <f t="shared" si="2"/>
        <v/>
      </c>
      <c r="L45" s="782" t="str">
        <f t="shared" si="3"/>
        <v/>
      </c>
      <c r="M45" s="782" t="str">
        <f t="shared" si="4"/>
        <v/>
      </c>
    </row>
    <row r="46" spans="1:13" ht="13.2">
      <c r="A46" s="795" t="s">
        <v>1625</v>
      </c>
      <c r="B46" s="795" t="s">
        <v>1626</v>
      </c>
      <c r="C46" s="796"/>
      <c r="D46" s="797"/>
      <c r="E46" s="797" t="n">
        <v>3772008.0</v>
      </c>
      <c r="F46" s="797" t="n">
        <v>41553.0</v>
      </c>
      <c r="G46" s="796" t="n">
        <v>3730455.0</v>
      </c>
      <c r="H46" s="797"/>
      <c r="I46" s="806" t="str">
        <f t="shared" si="0"/>
        <v/>
      </c>
      <c r="J46" s="782" t="str">
        <f t="shared" si="1"/>
        <v/>
      </c>
      <c r="K46" s="782" t="str">
        <f t="shared" si="2"/>
        <v/>
      </c>
      <c r="L46" s="782" t="str">
        <f t="shared" si="3"/>
        <v/>
      </c>
      <c r="M46" s="782" t="str">
        <f t="shared" si="4"/>
        <v/>
      </c>
    </row>
    <row r="47" spans="1:13" ht="13.2">
      <c r="A47" s="795" t="s">
        <v>1627</v>
      </c>
      <c r="B47" s="795" t="s">
        <v>1628</v>
      </c>
      <c r="C47" s="796"/>
      <c r="D47" s="797"/>
      <c r="E47" s="797" t="n">
        <v>3988000.0</v>
      </c>
      <c r="F47" s="797"/>
      <c r="G47" s="796" t="n">
        <v>3988000.0</v>
      </c>
      <c r="H47" s="797"/>
      <c r="I47" s="806" t="str">
        <f t="shared" si="0"/>
        <v/>
      </c>
      <c r="J47" s="782" t="str">
        <f t="shared" si="1"/>
        <v/>
      </c>
      <c r="K47" s="782" t="str">
        <f t="shared" si="2"/>
        <v/>
      </c>
      <c r="L47" s="782" t="str">
        <f t="shared" si="3"/>
        <v/>
      </c>
      <c r="M47" s="782" t="str">
        <f t="shared" si="4"/>
        <v/>
      </c>
    </row>
    <row r="48" spans="1:13" ht="13.2">
      <c r="A48" s="795" t="s">
        <v>1631</v>
      </c>
      <c r="B48" s="795" t="s">
        <v>1632</v>
      </c>
      <c r="C48" s="796"/>
      <c r="D48" s="797"/>
      <c r="E48" s="796" t="n">
        <v>1731700.0</v>
      </c>
      <c r="F48" s="796"/>
      <c r="G48" s="796" t="n">
        <v>1731700.0</v>
      </c>
      <c r="H48" s="797"/>
      <c r="I48" s="806" t="str">
        <f t="shared" si="0"/>
        <v/>
      </c>
      <c r="J48" s="782" t="str">
        <f t="shared" si="1"/>
        <v/>
      </c>
      <c r="K48" s="782" t="str">
        <f t="shared" si="2"/>
        <v/>
      </c>
      <c r="L48" s="782" t="str">
        <f t="shared" si="3"/>
        <v/>
      </c>
      <c r="M48" s="782" t="str">
        <f t="shared" si="4"/>
        <v/>
      </c>
    </row>
    <row r="49" spans="1:13" ht="13.2">
      <c r="A49" s="795" t="s">
        <v>1633</v>
      </c>
      <c r="B49" s="795" t="s">
        <v>1634</v>
      </c>
      <c r="C49" s="796"/>
      <c r="D49" s="796"/>
      <c r="E49" s="797" t="n">
        <v>33564.0</v>
      </c>
      <c r="F49" s="796"/>
      <c r="G49" s="797" t="n">
        <v>33564.0</v>
      </c>
      <c r="H49" s="796"/>
      <c r="I49" s="806" t="str">
        <f t="shared" si="0"/>
        <v/>
      </c>
      <c r="J49" s="782" t="str">
        <f t="shared" si="1"/>
        <v/>
      </c>
      <c r="K49" s="782" t="str">
        <f t="shared" si="2"/>
        <v/>
      </c>
      <c r="L49" s="782" t="str">
        <f t="shared" si="3"/>
        <v/>
      </c>
      <c r="M49" s="782" t="str">
        <f t="shared" si="4"/>
        <v/>
      </c>
    </row>
    <row r="50" spans="1:14" ht="13.2">
      <c r="A50" s="795" t="s">
        <v>1635</v>
      </c>
      <c r="B50" s="795" t="s">
        <v>1636</v>
      </c>
      <c r="C50" s="796"/>
      <c r="D50" s="797"/>
      <c r="E50" s="797" t="n">
        <v>378000.0</v>
      </c>
      <c r="F50" s="797"/>
      <c r="G50" s="796" t="n">
        <v>378000.0</v>
      </c>
      <c r="H50" s="797"/>
      <c r="I50" s="806" t="str">
        <f t="shared" si="0"/>
        <v/>
      </c>
      <c r="J50" s="782" t="str">
        <f t="shared" si="1"/>
        <v/>
      </c>
      <c r="K50" s="782" t="str">
        <f t="shared" si="2"/>
        <v/>
      </c>
      <c r="L50" s="782" t="str">
        <f t="shared" si="3"/>
        <v/>
      </c>
      <c r="M50" s="782" t="str">
        <f t="shared" si="4"/>
        <v/>
      </c>
      <c r="N50" s="788"/>
    </row>
    <row r="51" spans="1:13" ht="13.2">
      <c r="A51" s="795" t="s">
        <v>1637</v>
      </c>
      <c r="B51" s="795" t="s">
        <v>1638</v>
      </c>
      <c r="C51" s="796"/>
      <c r="D51" s="796"/>
      <c r="E51" s="797" t="n">
        <v>210000.0</v>
      </c>
      <c r="F51" s="797"/>
      <c r="G51" s="796" t="n">
        <v>210000.0</v>
      </c>
      <c r="H51" s="796"/>
      <c r="I51" s="806" t="str">
        <f t="shared" si="0"/>
        <v/>
      </c>
      <c r="J51" s="782" t="str">
        <f t="shared" si="1"/>
        <v/>
      </c>
      <c r="K51" s="782" t="str">
        <f t="shared" si="2"/>
        <v/>
      </c>
      <c r="L51" s="782" t="str">
        <f t="shared" si="3"/>
        <v/>
      </c>
      <c r="M51" s="782" t="str">
        <f t="shared" si="4"/>
        <v/>
      </c>
    </row>
    <row r="52" spans="1:13" ht="13.2">
      <c r="A52" s="795" t="s">
        <v>1669</v>
      </c>
      <c r="B52" s="795" t="s">
        <v>1670</v>
      </c>
      <c r="C52" s="796"/>
      <c r="D52" s="797"/>
      <c r="E52" s="796" t="n">
        <v>12000.0</v>
      </c>
      <c r="F52" s="796"/>
      <c r="G52" s="796" t="n">
        <v>12000.0</v>
      </c>
      <c r="H52" s="797"/>
      <c r="I52" s="806" t="str">
        <f t="shared" si="0"/>
        <v/>
      </c>
      <c r="J52" s="782" t="str">
        <f t="shared" si="1"/>
        <v/>
      </c>
      <c r="K52" s="782" t="str">
        <f t="shared" si="2"/>
        <v/>
      </c>
      <c r="L52" s="782" t="str">
        <f t="shared" si="3"/>
        <v/>
      </c>
      <c r="M52" s="782" t="str">
        <f t="shared" si="4"/>
        <v/>
      </c>
    </row>
    <row r="53" spans="1:13" ht="13.2">
      <c r="A53" s="795" t="s">
        <v>1639</v>
      </c>
      <c r="B53" s="795" t="s">
        <v>1640</v>
      </c>
      <c r="C53" s="797"/>
      <c r="D53" s="796"/>
      <c r="E53" s="796" t="n">
        <v>52000.0</v>
      </c>
      <c r="F53" s="796"/>
      <c r="G53" s="797" t="n">
        <v>52000.0</v>
      </c>
      <c r="H53" s="796"/>
      <c r="I53" s="806" t="str">
        <f t="shared" si="0"/>
        <v/>
      </c>
      <c r="J53" s="782" t="str">
        <f t="shared" si="1"/>
        <v/>
      </c>
      <c r="K53" s="782" t="str">
        <f t="shared" si="2"/>
        <v/>
      </c>
      <c r="L53" s="782" t="str">
        <f t="shared" si="3"/>
        <v/>
      </c>
      <c r="M53" s="782" t="str">
        <f t="shared" si="4"/>
        <v/>
      </c>
    </row>
    <row r="54" spans="1:13" ht="13.2">
      <c r="A54" s="795" t="s">
        <v>1671</v>
      </c>
      <c r="B54" s="795" t="s">
        <v>1672</v>
      </c>
      <c r="C54" s="797"/>
      <c r="D54" s="796"/>
      <c r="E54" s="796" t="n">
        <v>500000.0</v>
      </c>
      <c r="F54" s="796"/>
      <c r="G54" s="797" t="n">
        <v>500000.0</v>
      </c>
      <c r="H54" s="796"/>
      <c r="I54" s="806" t="str">
        <f t="shared" si="0"/>
        <v/>
      </c>
      <c r="J54" s="782" t="str">
        <f t="shared" si="1"/>
        <v/>
      </c>
      <c r="K54" s="782" t="str">
        <f t="shared" si="2"/>
        <v/>
      </c>
      <c r="L54" s="782" t="str">
        <f t="shared" si="3"/>
        <v/>
      </c>
      <c r="M54" s="782" t="str">
        <f t="shared" si="4"/>
        <v/>
      </c>
    </row>
    <row r="55" spans="1:13" ht="13.2">
      <c r="A55" s="795" t="s">
        <v>1641</v>
      </c>
      <c r="B55" s="795" t="s">
        <v>1642</v>
      </c>
      <c r="C55" s="797"/>
      <c r="D55" s="796"/>
      <c r="E55" s="796" t="n">
        <v>1440413.0</v>
      </c>
      <c r="F55" s="796"/>
      <c r="G55" s="797" t="n">
        <v>1440413.0</v>
      </c>
      <c r="H55" s="796"/>
      <c r="I55" s="806" t="str">
        <f t="shared" si="0"/>
        <v/>
      </c>
      <c r="J55" s="782" t="str">
        <f t="shared" si="1"/>
        <v/>
      </c>
      <c r="K55" s="782" t="str">
        <f t="shared" si="2"/>
        <v/>
      </c>
      <c r="L55" s="782" t="str">
        <f t="shared" si="3"/>
        <v/>
      </c>
      <c r="M55" s="782" t="str">
        <f t="shared" si="4"/>
        <v/>
      </c>
    </row>
    <row r="56" spans="1:13" ht="13.2">
      <c r="A56" s="795" t="s">
        <v>1643</v>
      </c>
      <c r="B56" s="795" t="s">
        <v>1644</v>
      </c>
      <c r="C56" s="796"/>
      <c r="D56" s="797"/>
      <c r="E56" s="796" t="n">
        <v>1.177713E7</v>
      </c>
      <c r="F56" s="796"/>
      <c r="G56" s="796" t="n">
        <v>1.177713E7</v>
      </c>
      <c r="H56" s="797"/>
      <c r="I56" s="806" t="str">
        <f t="shared" si="0"/>
        <v/>
      </c>
      <c r="J56" s="782" t="str">
        <f t="shared" si="1"/>
        <v/>
      </c>
      <c r="K56" s="782" t="str">
        <f t="shared" si="2"/>
        <v/>
      </c>
      <c r="L56" s="782" t="str">
        <f t="shared" si="3"/>
        <v/>
      </c>
      <c r="M56" s="782" t="str">
        <f t="shared" si="4"/>
        <v/>
      </c>
    </row>
    <row r="57" spans="1:13" ht="13.2">
      <c r="A57" s="795" t="s">
        <v>1645</v>
      </c>
      <c r="B57" s="795" t="s">
        <v>1646</v>
      </c>
      <c r="C57" s="796"/>
      <c r="D57" s="797"/>
      <c r="E57" s="796" t="n">
        <v>2233692.0</v>
      </c>
      <c r="F57" s="796"/>
      <c r="G57" s="796" t="n">
        <v>2233692.0</v>
      </c>
      <c r="H57" s="797"/>
      <c r="I57" s="806" t="str">
        <f t="shared" si="0"/>
        <v/>
      </c>
      <c r="J57" s="782" t="str">
        <f t="shared" si="1"/>
        <v/>
      </c>
      <c r="K57" s="782" t="str">
        <f t="shared" si="2"/>
        <v/>
      </c>
      <c r="L57" s="782" t="str">
        <f t="shared" si="3"/>
        <v/>
      </c>
      <c r="M57" s="782" t="str">
        <f t="shared" si="4"/>
        <v/>
      </c>
    </row>
    <row r="58" spans="1:13" ht="13.2">
      <c r="A58" s="795" t="s">
        <v>1647</v>
      </c>
      <c r="B58" s="795" t="s">
        <v>1648</v>
      </c>
      <c r="C58" s="797"/>
      <c r="D58" s="796"/>
      <c r="E58" s="797" t="n">
        <v>1372800.0</v>
      </c>
      <c r="F58" s="797"/>
      <c r="G58" s="797" t="n">
        <v>1372800.0</v>
      </c>
      <c r="H58" s="796"/>
      <c r="I58" s="806" t="str">
        <f t="shared" si="0"/>
        <v/>
      </c>
      <c r="J58" s="782" t="str">
        <f t="shared" si="1"/>
        <v/>
      </c>
      <c r="K58" s="782" t="str">
        <f t="shared" si="2"/>
        <v/>
      </c>
      <c r="L58" s="782" t="str">
        <f t="shared" si="3"/>
        <v/>
      </c>
      <c r="M58" s="782" t="str">
        <f t="shared" si="4"/>
        <v/>
      </c>
    </row>
    <row r="59" spans="1:13" ht="13.2">
      <c r="A59" s="795" t="s">
        <v>1649</v>
      </c>
      <c r="B59" s="795" t="s">
        <v>1650</v>
      </c>
      <c r="C59" s="797"/>
      <c r="D59" s="796"/>
      <c r="E59" s="796" t="n">
        <v>1652100.0</v>
      </c>
      <c r="F59" s="797"/>
      <c r="G59" s="797" t="n">
        <v>1652100.0</v>
      </c>
      <c r="H59" s="796"/>
      <c r="I59" s="806" t="str">
        <f t="shared" si="0"/>
        <v/>
      </c>
      <c r="J59" s="782" t="str">
        <f t="shared" si="1"/>
        <v/>
      </c>
      <c r="K59" s="782" t="str">
        <f t="shared" si="2"/>
        <v/>
      </c>
      <c r="L59" s="782" t="str">
        <f t="shared" si="3"/>
        <v/>
      </c>
      <c r="M59" s="782" t="str">
        <f t="shared" si="4"/>
        <v/>
      </c>
    </row>
    <row r="60" spans="1:13" ht="13.2">
      <c r="A60" s="795" t="s">
        <v>1651</v>
      </c>
      <c r="B60" s="795" t="s">
        <v>1652</v>
      </c>
      <c r="C60" s="797"/>
      <c r="D60" s="796"/>
      <c r="E60" s="797" t="n">
        <v>330672.0</v>
      </c>
      <c r="F60" s="797"/>
      <c r="G60" s="797" t="n">
        <v>330672.0</v>
      </c>
      <c r="H60" s="796"/>
      <c r="I60" s="806" t="str">
        <f t="shared" si="0"/>
        <v/>
      </c>
      <c r="J60" s="782" t="str">
        <f t="shared" si="1"/>
        <v/>
      </c>
      <c r="K60" s="782" t="str">
        <f t="shared" si="2"/>
        <v/>
      </c>
      <c r="L60" s="782" t="str">
        <f t="shared" si="3"/>
        <v/>
      </c>
      <c r="M60" s="782" t="str">
        <f t="shared" si="4"/>
        <v/>
      </c>
    </row>
    <row r="61" spans="1:13" ht="13.2">
      <c r="A61" s="795" t="s">
        <v>1653</v>
      </c>
      <c r="B61" s="795" t="s">
        <v>1654</v>
      </c>
      <c r="C61" s="796"/>
      <c r="D61" s="796"/>
      <c r="E61" s="797" t="n">
        <v>5.477022E7</v>
      </c>
      <c r="F61" s="797"/>
      <c r="G61" s="796" t="n">
        <v>5.477022E7</v>
      </c>
      <c r="H61" s="796"/>
      <c r="I61" s="806" t="str">
        <f t="shared" si="0"/>
        <v/>
      </c>
      <c r="J61" s="782" t="str">
        <f t="shared" si="1"/>
        <v/>
      </c>
      <c r="K61" s="782" t="str">
        <f t="shared" si="2"/>
        <v/>
      </c>
      <c r="L61" s="782" t="str">
        <f t="shared" si="3"/>
        <v/>
      </c>
      <c r="M61" s="782" t="str">
        <f t="shared" si="4"/>
        <v/>
      </c>
    </row>
    <row r="62" spans="1:13" ht="13.2">
      <c r="A62" s="795" t="s">
        <v>1655</v>
      </c>
      <c r="B62" s="795" t="s">
        <v>1656</v>
      </c>
      <c r="C62" s="796"/>
      <c r="D62" s="796"/>
      <c r="E62" s="797"/>
      <c r="F62" s="796" t="n">
        <v>2.60863486E8</v>
      </c>
      <c r="G62" s="797"/>
      <c r="H62" s="796" t="n">
        <v>2.60863486E8</v>
      </c>
      <c r="I62" s="806" t="str">
        <f t="shared" si="0"/>
        <v/>
      </c>
      <c r="J62" s="782" t="str">
        <f t="shared" si="1"/>
        <v/>
      </c>
      <c r="K62" s="782" t="str">
        <f t="shared" si="2"/>
        <v/>
      </c>
      <c r="L62" s="782" t="str">
        <f t="shared" si="3"/>
        <v/>
      </c>
      <c r="M62" s="782" t="str">
        <f t="shared" si="4"/>
        <v/>
      </c>
    </row>
    <row r="63" spans="1:13" ht="13.2">
      <c r="A63" s="795" t="s">
        <v>1673</v>
      </c>
      <c r="B63" s="795" t="s">
        <v>1674</v>
      </c>
      <c r="C63" s="796"/>
      <c r="D63" s="796"/>
      <c r="E63" s="797" t="n">
        <v>500000.0</v>
      </c>
      <c r="F63" s="796"/>
      <c r="G63" s="797" t="n">
        <v>500000.0</v>
      </c>
      <c r="H63" s="796"/>
      <c r="I63" s="806" t="str">
        <f t="shared" si="0"/>
        <v/>
      </c>
      <c r="J63" s="782" t="str">
        <f t="shared" si="1"/>
        <v/>
      </c>
      <c r="K63" s="782" t="str">
        <f t="shared" si="2"/>
        <v/>
      </c>
      <c r="L63" s="782" t="str">
        <f t="shared" si="3"/>
        <v/>
      </c>
      <c r="M63" s="782" t="str">
        <f t="shared" si="4"/>
        <v/>
      </c>
    </row>
    <row r="64" spans="1:13" ht="13.2">
      <c r="A64" s="795"/>
      <c r="B64" s="795"/>
      <c r="C64" s="796"/>
      <c r="D64" s="796"/>
      <c r="E64" s="797"/>
      <c r="F64" s="797"/>
      <c r="G64" s="797"/>
      <c r="H64" s="796"/>
      <c r="I64" s="806" t="str">
        <f t="shared" si="0"/>
        <v/>
      </c>
      <c r="J64" s="782" t="str">
        <f t="shared" si="1"/>
        <v/>
      </c>
      <c r="K64" s="782" t="str">
        <f t="shared" si="2"/>
        <v/>
      </c>
      <c r="L64" s="782" t="str">
        <f t="shared" si="3"/>
        <v/>
      </c>
      <c r="M64" s="782" t="str">
        <f t="shared" si="4"/>
        <v/>
      </c>
    </row>
    <row r="65" spans="1:13" ht="13.2">
      <c r="A65" s="795"/>
      <c r="B65" s="795"/>
      <c r="C65" s="796"/>
      <c r="D65" s="796"/>
      <c r="E65" s="797"/>
      <c r="F65" s="796"/>
      <c r="G65" s="797"/>
      <c r="H65" s="796"/>
      <c r="I65" s="806" t="str">
        <f t="shared" si="0"/>
        <v/>
      </c>
      <c r="J65" s="782" t="str">
        <f t="shared" si="1"/>
        <v/>
      </c>
      <c r="K65" s="782" t="str">
        <f t="shared" si="2"/>
        <v/>
      </c>
      <c r="L65" s="782" t="str">
        <f t="shared" si="3"/>
        <v/>
      </c>
      <c r="M65" s="782" t="str">
        <f t="shared" si="4"/>
        <v/>
      </c>
    </row>
    <row r="66" spans="1:13" ht="13.2">
      <c r="A66" s="795"/>
      <c r="B66" s="795"/>
      <c r="C66" s="796"/>
      <c r="D66" s="796"/>
      <c r="E66" s="797"/>
      <c r="F66" s="796"/>
      <c r="G66" s="797"/>
      <c r="H66" s="796"/>
      <c r="I66" s="806" t="str">
        <f t="shared" si="0"/>
        <v/>
      </c>
      <c r="J66" s="782" t="str">
        <f t="shared" si="1"/>
        <v/>
      </c>
      <c r="K66" s="782" t="str">
        <f t="shared" si="2"/>
        <v/>
      </c>
      <c r="L66" s="782" t="str">
        <f t="shared" si="3"/>
        <v/>
      </c>
      <c r="M66" s="782" t="str">
        <f t="shared" si="4"/>
        <v/>
      </c>
    </row>
    <row r="67" spans="1:13" ht="13.2">
      <c r="A67" s="795"/>
      <c r="B67" s="795"/>
      <c r="C67" s="796"/>
      <c r="D67" s="796"/>
      <c r="E67" s="797"/>
      <c r="F67" s="796"/>
      <c r="G67" s="797"/>
      <c r="H67" s="796"/>
      <c r="I67" s="806" t="str">
        <f t="shared" si="5" ref="I67:I130">LEFT(A67,2)</f>
        <v/>
      </c>
      <c r="J67" s="782" t="str">
        <f t="shared" si="6" ref="J67:J130">LEFT(A67,3)</f>
        <v/>
      </c>
      <c r="K67" s="782" t="str">
        <f t="shared" si="7" ref="K67:K130">LEFT(A67,4)</f>
        <v/>
      </c>
      <c r="L67" s="782" t="str">
        <f t="shared" si="8" ref="L67:L130">LEFT(A67,5)</f>
        <v/>
      </c>
      <c r="M67" s="782" t="str">
        <f t="shared" si="9" ref="M67:M130">LEFT(A67,1)</f>
        <v/>
      </c>
    </row>
    <row r="68" spans="1:13" ht="13.2">
      <c r="A68" s="795"/>
      <c r="B68" s="795"/>
      <c r="C68" s="796"/>
      <c r="D68" s="796"/>
      <c r="E68" s="797"/>
      <c r="F68" s="797"/>
      <c r="G68" s="797"/>
      <c r="H68" s="796"/>
      <c r="I68" s="806" t="str">
        <f t="shared" si="5"/>
        <v/>
      </c>
      <c r="J68" s="782" t="str">
        <f t="shared" si="6"/>
        <v/>
      </c>
      <c r="K68" s="782" t="str">
        <f t="shared" si="7"/>
        <v/>
      </c>
      <c r="L68" s="782" t="str">
        <f t="shared" si="8"/>
        <v/>
      </c>
      <c r="M68" s="782" t="str">
        <f t="shared" si="9"/>
        <v/>
      </c>
    </row>
    <row r="69" spans="1:13" ht="13.2">
      <c r="A69" s="795"/>
      <c r="B69" s="795"/>
      <c r="C69" s="796"/>
      <c r="D69" s="796"/>
      <c r="E69" s="797"/>
      <c r="F69" s="796"/>
      <c r="G69" s="797"/>
      <c r="H69" s="796"/>
      <c r="I69" s="806" t="str">
        <f t="shared" si="5"/>
        <v/>
      </c>
      <c r="J69" s="782" t="str">
        <f t="shared" si="6"/>
        <v/>
      </c>
      <c r="K69" s="782" t="str">
        <f t="shared" si="7"/>
        <v/>
      </c>
      <c r="L69" s="782" t="str">
        <f t="shared" si="8"/>
        <v/>
      </c>
      <c r="M69" s="782" t="str">
        <f t="shared" si="9"/>
        <v/>
      </c>
    </row>
    <row r="70" spans="1:13" ht="13.2">
      <c r="A70" s="795"/>
      <c r="B70" s="795"/>
      <c r="C70" s="796"/>
      <c r="D70" s="796"/>
      <c r="E70" s="797"/>
      <c r="F70" s="796"/>
      <c r="G70" s="797"/>
      <c r="H70" s="796"/>
      <c r="I70" s="806" t="str">
        <f t="shared" si="5"/>
        <v/>
      </c>
      <c r="J70" s="782" t="str">
        <f t="shared" si="6"/>
        <v/>
      </c>
      <c r="K70" s="782" t="str">
        <f t="shared" si="7"/>
        <v/>
      </c>
      <c r="L70" s="782" t="str">
        <f t="shared" si="8"/>
        <v/>
      </c>
      <c r="M70" s="782" t="str">
        <f t="shared" si="9"/>
        <v/>
      </c>
    </row>
    <row r="71" spans="1:13" ht="13.2">
      <c r="A71" s="795"/>
      <c r="B71" s="795"/>
      <c r="C71" s="796"/>
      <c r="D71" s="796"/>
      <c r="E71" s="797"/>
      <c r="F71" s="796"/>
      <c r="G71" s="797"/>
      <c r="H71" s="796"/>
      <c r="I71" s="806" t="str">
        <f t="shared" si="5"/>
        <v/>
      </c>
      <c r="J71" s="782" t="str">
        <f t="shared" si="6"/>
        <v/>
      </c>
      <c r="K71" s="782" t="str">
        <f t="shared" si="7"/>
        <v/>
      </c>
      <c r="L71" s="782" t="str">
        <f t="shared" si="8"/>
        <v/>
      </c>
      <c r="M71" s="782" t="str">
        <f t="shared" si="9"/>
        <v/>
      </c>
    </row>
    <row r="72" spans="1:13" ht="13.2">
      <c r="A72" s="795"/>
      <c r="B72" s="795"/>
      <c r="C72" s="796"/>
      <c r="D72" s="796"/>
      <c r="E72" s="797"/>
      <c r="F72" s="796"/>
      <c r="G72" s="797"/>
      <c r="H72" s="796"/>
      <c r="I72" s="806" t="str">
        <f t="shared" si="5"/>
        <v/>
      </c>
      <c r="J72" s="782" t="str">
        <f t="shared" si="6"/>
        <v/>
      </c>
      <c r="K72" s="782" t="str">
        <f t="shared" si="7"/>
        <v/>
      </c>
      <c r="L72" s="782" t="str">
        <f t="shared" si="8"/>
        <v/>
      </c>
      <c r="M72" s="782" t="str">
        <f t="shared" si="9"/>
        <v/>
      </c>
    </row>
    <row r="73" spans="1:13" ht="13.2">
      <c r="A73" s="795"/>
      <c r="B73" s="795"/>
      <c r="C73" s="796"/>
      <c r="D73" s="796"/>
      <c r="E73" s="797"/>
      <c r="F73" s="796"/>
      <c r="G73" s="797"/>
      <c r="H73" s="796"/>
      <c r="I73" s="806" t="str">
        <f t="shared" si="5"/>
        <v/>
      </c>
      <c r="J73" s="782" t="str">
        <f t="shared" si="6"/>
        <v/>
      </c>
      <c r="K73" s="782" t="str">
        <f t="shared" si="7"/>
        <v/>
      </c>
      <c r="L73" s="782" t="str">
        <f t="shared" si="8"/>
        <v/>
      </c>
      <c r="M73" s="782" t="str">
        <f t="shared" si="9"/>
        <v/>
      </c>
    </row>
    <row r="74" spans="1:13" ht="13.2">
      <c r="A74" s="795"/>
      <c r="B74" s="795"/>
      <c r="C74" s="796"/>
      <c r="D74" s="796"/>
      <c r="E74" s="797"/>
      <c r="F74" s="796"/>
      <c r="G74" s="797"/>
      <c r="H74" s="796"/>
      <c r="I74" s="806" t="str">
        <f t="shared" si="5"/>
        <v/>
      </c>
      <c r="J74" s="782" t="str">
        <f t="shared" si="6"/>
        <v/>
      </c>
      <c r="K74" s="782" t="str">
        <f t="shared" si="7"/>
        <v/>
      </c>
      <c r="L74" s="782" t="str">
        <f t="shared" si="8"/>
        <v/>
      </c>
      <c r="M74" s="782" t="str">
        <f t="shared" si="9"/>
        <v/>
      </c>
    </row>
    <row r="75" spans="1:13" s="798" customFormat="1" ht="13.2">
      <c r="A75" s="795"/>
      <c r="B75" s="795"/>
      <c r="C75" s="796"/>
      <c r="D75" s="796"/>
      <c r="E75" s="797"/>
      <c r="F75" s="796"/>
      <c r="G75" s="797"/>
      <c r="H75" s="796"/>
      <c r="I75" s="806" t="str">
        <f t="shared" si="5"/>
        <v/>
      </c>
      <c r="J75" s="782" t="str">
        <f t="shared" si="6"/>
        <v/>
      </c>
      <c r="K75" s="782" t="str">
        <f t="shared" si="7"/>
        <v/>
      </c>
      <c r="L75" s="782" t="str">
        <f t="shared" si="8"/>
        <v/>
      </c>
      <c r="M75" s="782" t="str">
        <f t="shared" si="9"/>
        <v/>
      </c>
    </row>
    <row r="76" spans="1:13" ht="13.2">
      <c r="A76" s="795"/>
      <c r="B76" s="795"/>
      <c r="C76" s="796"/>
      <c r="D76" s="796"/>
      <c r="E76" s="797"/>
      <c r="F76" s="796"/>
      <c r="G76" s="797"/>
      <c r="H76" s="796"/>
      <c r="I76" s="806" t="str">
        <f t="shared" si="5"/>
        <v/>
      </c>
      <c r="J76" s="782" t="str">
        <f t="shared" si="6"/>
        <v/>
      </c>
      <c r="K76" s="782" t="str">
        <f t="shared" si="7"/>
        <v/>
      </c>
      <c r="L76" s="782" t="str">
        <f t="shared" si="8"/>
        <v/>
      </c>
      <c r="M76" s="782" t="str">
        <f t="shared" si="9"/>
        <v/>
      </c>
    </row>
    <row r="77" spans="1:13" ht="13.2">
      <c r="A77" s="795"/>
      <c r="B77" s="795"/>
      <c r="C77" s="796"/>
      <c r="D77" s="796"/>
      <c r="E77" s="797"/>
      <c r="F77" s="796"/>
      <c r="G77" s="797"/>
      <c r="H77" s="796"/>
      <c r="I77" s="806" t="str">
        <f t="shared" si="5"/>
        <v/>
      </c>
      <c r="J77" s="782" t="str">
        <f t="shared" si="6"/>
        <v/>
      </c>
      <c r="K77" s="782" t="str">
        <f t="shared" si="7"/>
        <v/>
      </c>
      <c r="L77" s="782" t="str">
        <f t="shared" si="8"/>
        <v/>
      </c>
      <c r="M77" s="782" t="str">
        <f t="shared" si="9"/>
        <v/>
      </c>
    </row>
    <row r="78" spans="1:13" ht="13.2">
      <c r="A78" s="795"/>
      <c r="B78" s="795"/>
      <c r="C78" s="796"/>
      <c r="D78" s="796"/>
      <c r="E78" s="797"/>
      <c r="F78" s="796"/>
      <c r="G78" s="797"/>
      <c r="H78" s="796"/>
      <c r="I78" s="806" t="str">
        <f t="shared" si="5"/>
        <v/>
      </c>
      <c r="J78" s="782" t="str">
        <f t="shared" si="6"/>
        <v/>
      </c>
      <c r="K78" s="782" t="str">
        <f t="shared" si="7"/>
        <v/>
      </c>
      <c r="L78" s="782" t="str">
        <f t="shared" si="8"/>
        <v/>
      </c>
      <c r="M78" s="782" t="str">
        <f t="shared" si="9"/>
        <v/>
      </c>
    </row>
    <row r="79" spans="1:13" ht="13.2">
      <c r="A79" s="795"/>
      <c r="B79" s="795"/>
      <c r="C79" s="796"/>
      <c r="D79" s="796"/>
      <c r="E79" s="797"/>
      <c r="F79" s="796"/>
      <c r="G79" s="797"/>
      <c r="H79" s="796"/>
      <c r="I79" s="806" t="str">
        <f t="shared" si="5"/>
        <v/>
      </c>
      <c r="J79" s="782" t="str">
        <f t="shared" si="6"/>
        <v/>
      </c>
      <c r="K79" s="782" t="str">
        <f t="shared" si="7"/>
        <v/>
      </c>
      <c r="L79" s="782" t="str">
        <f t="shared" si="8"/>
        <v/>
      </c>
      <c r="M79" s="782" t="str">
        <f t="shared" si="9"/>
        <v/>
      </c>
    </row>
    <row r="80" spans="1:13" ht="13.2">
      <c r="A80" s="795"/>
      <c r="B80" s="795"/>
      <c r="C80" s="796"/>
      <c r="D80" s="796"/>
      <c r="E80" s="797"/>
      <c r="F80" s="796"/>
      <c r="G80" s="797"/>
      <c r="H80" s="796"/>
      <c r="I80" s="806" t="str">
        <f t="shared" si="5"/>
        <v/>
      </c>
      <c r="J80" s="782" t="str">
        <f t="shared" si="6"/>
        <v/>
      </c>
      <c r="K80" s="782" t="str">
        <f t="shared" si="7"/>
        <v/>
      </c>
      <c r="L80" s="782" t="str">
        <f t="shared" si="8"/>
        <v/>
      </c>
      <c r="M80" s="782" t="str">
        <f t="shared" si="9"/>
        <v/>
      </c>
    </row>
    <row r="81" spans="1:13" ht="13.2">
      <c r="A81" s="795"/>
      <c r="B81" s="795"/>
      <c r="C81" s="796"/>
      <c r="D81" s="796"/>
      <c r="E81" s="797"/>
      <c r="F81" s="796"/>
      <c r="G81" s="797"/>
      <c r="H81" s="796"/>
      <c r="I81" s="806" t="str">
        <f t="shared" si="5"/>
        <v/>
      </c>
      <c r="J81" s="782" t="str">
        <f t="shared" si="6"/>
        <v/>
      </c>
      <c r="K81" s="782" t="str">
        <f t="shared" si="7"/>
        <v/>
      </c>
      <c r="L81" s="782" t="str">
        <f t="shared" si="8"/>
        <v/>
      </c>
      <c r="M81" s="782" t="str">
        <f t="shared" si="9"/>
        <v/>
      </c>
    </row>
    <row r="82" spans="1:13" ht="13.2">
      <c r="A82" s="795"/>
      <c r="B82" s="795"/>
      <c r="C82" s="796"/>
      <c r="D82" s="796"/>
      <c r="E82" s="797"/>
      <c r="F82" s="796"/>
      <c r="G82" s="797"/>
      <c r="H82" s="796"/>
      <c r="I82" s="806" t="str">
        <f t="shared" si="5"/>
        <v/>
      </c>
      <c r="J82" s="782" t="str">
        <f t="shared" si="6"/>
        <v/>
      </c>
      <c r="K82" s="782" t="str">
        <f t="shared" si="7"/>
        <v/>
      </c>
      <c r="L82" s="782" t="str">
        <f t="shared" si="8"/>
        <v/>
      </c>
      <c r="M82" s="782" t="str">
        <f t="shared" si="9"/>
        <v/>
      </c>
    </row>
    <row r="83" spans="1:13" ht="13.2">
      <c r="A83" s="795"/>
      <c r="B83" s="795"/>
      <c r="C83" s="796"/>
      <c r="D83" s="796"/>
      <c r="E83" s="797"/>
      <c r="F83" s="796"/>
      <c r="G83" s="797"/>
      <c r="H83" s="796"/>
      <c r="I83" s="806" t="str">
        <f t="shared" si="5"/>
        <v/>
      </c>
      <c r="J83" s="782" t="str">
        <f t="shared" si="6"/>
        <v/>
      </c>
      <c r="K83" s="782" t="str">
        <f t="shared" si="7"/>
        <v/>
      </c>
      <c r="L83" s="782" t="str">
        <f t="shared" si="8"/>
        <v/>
      </c>
      <c r="M83" s="782" t="str">
        <f t="shared" si="9"/>
        <v/>
      </c>
    </row>
    <row r="84" spans="1:13" ht="13.2">
      <c r="A84" s="795"/>
      <c r="B84" s="795"/>
      <c r="C84" s="796"/>
      <c r="D84" s="796"/>
      <c r="E84" s="797"/>
      <c r="F84" s="796"/>
      <c r="G84" s="797"/>
      <c r="H84" s="796"/>
      <c r="I84" s="806" t="str">
        <f t="shared" si="5"/>
        <v/>
      </c>
      <c r="J84" s="782" t="str">
        <f t="shared" si="6"/>
        <v/>
      </c>
      <c r="K84" s="782" t="str">
        <f t="shared" si="7"/>
        <v/>
      </c>
      <c r="L84" s="782" t="str">
        <f t="shared" si="8"/>
        <v/>
      </c>
      <c r="M84" s="782" t="str">
        <f t="shared" si="9"/>
        <v/>
      </c>
    </row>
    <row r="85" spans="1:13" ht="13.2">
      <c r="A85" s="795"/>
      <c r="B85" s="795"/>
      <c r="C85" s="796"/>
      <c r="D85" s="796"/>
      <c r="E85" s="797"/>
      <c r="F85" s="796"/>
      <c r="G85" s="797"/>
      <c r="H85" s="796"/>
      <c r="I85" s="806" t="str">
        <f t="shared" si="5"/>
        <v/>
      </c>
      <c r="J85" s="782" t="str">
        <f t="shared" si="6"/>
        <v/>
      </c>
      <c r="K85" s="782" t="str">
        <f t="shared" si="7"/>
        <v/>
      </c>
      <c r="L85" s="782" t="str">
        <f t="shared" si="8"/>
        <v/>
      </c>
      <c r="M85" s="782" t="str">
        <f t="shared" si="9"/>
        <v/>
      </c>
    </row>
    <row r="86" spans="1:13" ht="13.2">
      <c r="A86" s="795"/>
      <c r="B86" s="795"/>
      <c r="C86" s="796"/>
      <c r="D86" s="796"/>
      <c r="E86" s="797"/>
      <c r="F86" s="796"/>
      <c r="G86" s="797"/>
      <c r="H86" s="796"/>
      <c r="I86" s="806" t="str">
        <f t="shared" si="5"/>
        <v/>
      </c>
      <c r="J86" s="782" t="str">
        <f t="shared" si="6"/>
        <v/>
      </c>
      <c r="K86" s="782" t="str">
        <f t="shared" si="7"/>
        <v/>
      </c>
      <c r="L86" s="782" t="str">
        <f t="shared" si="8"/>
        <v/>
      </c>
      <c r="M86" s="782" t="str">
        <f t="shared" si="9"/>
        <v/>
      </c>
    </row>
    <row r="87" spans="1:13" ht="13.2">
      <c r="A87" s="795"/>
      <c r="B87" s="795"/>
      <c r="C87" s="796"/>
      <c r="D87" s="796"/>
      <c r="E87" s="797"/>
      <c r="F87" s="796"/>
      <c r="G87" s="797"/>
      <c r="H87" s="796"/>
      <c r="I87" s="806" t="str">
        <f t="shared" si="5"/>
        <v/>
      </c>
      <c r="J87" s="782" t="str">
        <f t="shared" si="6"/>
        <v/>
      </c>
      <c r="K87" s="782" t="str">
        <f t="shared" si="7"/>
        <v/>
      </c>
      <c r="L87" s="782" t="str">
        <f t="shared" si="8"/>
        <v/>
      </c>
      <c r="M87" s="782" t="str">
        <f t="shared" si="9"/>
        <v/>
      </c>
    </row>
    <row r="88" spans="1:13" ht="13.2">
      <c r="A88" s="795"/>
      <c r="B88" s="795"/>
      <c r="C88" s="796"/>
      <c r="D88" s="796"/>
      <c r="E88" s="797"/>
      <c r="F88" s="796"/>
      <c r="G88" s="797"/>
      <c r="H88" s="796"/>
      <c r="I88" s="806" t="str">
        <f t="shared" si="5"/>
        <v/>
      </c>
      <c r="J88" s="782" t="str">
        <f t="shared" si="6"/>
        <v/>
      </c>
      <c r="K88" s="782" t="str">
        <f t="shared" si="7"/>
        <v/>
      </c>
      <c r="L88" s="782" t="str">
        <f t="shared" si="8"/>
        <v/>
      </c>
      <c r="M88" s="782" t="str">
        <f t="shared" si="9"/>
        <v/>
      </c>
    </row>
    <row r="89" spans="1:13" ht="13.2">
      <c r="A89" s="795"/>
      <c r="B89" s="795"/>
      <c r="C89" s="796"/>
      <c r="D89" s="796"/>
      <c r="E89" s="797"/>
      <c r="F89" s="797"/>
      <c r="G89" s="797"/>
      <c r="H89" s="796"/>
      <c r="I89" s="806" t="str">
        <f t="shared" si="5"/>
        <v/>
      </c>
      <c r="J89" s="782" t="str">
        <f t="shared" si="6"/>
        <v/>
      </c>
      <c r="K89" s="782" t="str">
        <f t="shared" si="7"/>
        <v/>
      </c>
      <c r="L89" s="782" t="str">
        <f t="shared" si="8"/>
        <v/>
      </c>
      <c r="M89" s="782" t="str">
        <f t="shared" si="9"/>
        <v/>
      </c>
    </row>
    <row r="90" spans="1:13" ht="13.2">
      <c r="A90" s="795"/>
      <c r="B90" s="795"/>
      <c r="C90" s="796"/>
      <c r="D90" s="796"/>
      <c r="E90" s="797"/>
      <c r="F90" s="797"/>
      <c r="G90" s="797"/>
      <c r="H90" s="796"/>
      <c r="I90" s="806" t="str">
        <f t="shared" si="5"/>
        <v/>
      </c>
      <c r="J90" s="782" t="str">
        <f t="shared" si="6"/>
        <v/>
      </c>
      <c r="K90" s="782" t="str">
        <f t="shared" si="7"/>
        <v/>
      </c>
      <c r="L90" s="782" t="str">
        <f t="shared" si="8"/>
        <v/>
      </c>
      <c r="M90" s="782" t="str">
        <f t="shared" si="9"/>
        <v/>
      </c>
    </row>
    <row r="91" spans="1:13" ht="13.2">
      <c r="A91" s="795"/>
      <c r="B91" s="795"/>
      <c r="C91" s="796"/>
      <c r="D91" s="796"/>
      <c r="E91" s="797"/>
      <c r="F91" s="796"/>
      <c r="G91" s="797"/>
      <c r="H91" s="796"/>
      <c r="I91" s="806" t="str">
        <f t="shared" si="5"/>
        <v/>
      </c>
      <c r="J91" s="782" t="str">
        <f t="shared" si="6"/>
        <v/>
      </c>
      <c r="K91" s="782" t="str">
        <f t="shared" si="7"/>
        <v/>
      </c>
      <c r="L91" s="782" t="str">
        <f t="shared" si="8"/>
        <v/>
      </c>
      <c r="M91" s="782" t="str">
        <f t="shared" si="9"/>
        <v/>
      </c>
    </row>
    <row r="92" spans="1:13" ht="13.2">
      <c r="A92" s="795"/>
      <c r="B92" s="795"/>
      <c r="C92" s="796"/>
      <c r="D92" s="796"/>
      <c r="E92" s="797"/>
      <c r="F92" s="796"/>
      <c r="G92" s="797"/>
      <c r="H92" s="796"/>
      <c r="I92" s="806" t="str">
        <f t="shared" si="5"/>
        <v/>
      </c>
      <c r="J92" s="782" t="str">
        <f t="shared" si="6"/>
        <v/>
      </c>
      <c r="K92" s="782" t="str">
        <f t="shared" si="7"/>
        <v/>
      </c>
      <c r="L92" s="782" t="str">
        <f t="shared" si="8"/>
        <v/>
      </c>
      <c r="M92" s="782" t="str">
        <f t="shared" si="9"/>
        <v/>
      </c>
    </row>
    <row r="93" spans="1:13" ht="13.2">
      <c r="A93" s="795"/>
      <c r="B93" s="795"/>
      <c r="C93" s="796"/>
      <c r="D93" s="796"/>
      <c r="E93" s="797"/>
      <c r="F93" s="796"/>
      <c r="G93" s="797"/>
      <c r="H93" s="796"/>
      <c r="I93" s="806" t="str">
        <f t="shared" si="5"/>
        <v/>
      </c>
      <c r="J93" s="782" t="str">
        <f t="shared" si="6"/>
        <v/>
      </c>
      <c r="K93" s="782" t="str">
        <f t="shared" si="7"/>
        <v/>
      </c>
      <c r="L93" s="782" t="str">
        <f t="shared" si="8"/>
        <v/>
      </c>
      <c r="M93" s="782" t="str">
        <f t="shared" si="9"/>
        <v/>
      </c>
    </row>
    <row r="94" spans="1:13" ht="13.2">
      <c r="A94" s="795"/>
      <c r="B94" s="795"/>
      <c r="C94" s="796"/>
      <c r="D94" s="796"/>
      <c r="E94" s="797"/>
      <c r="F94" s="796"/>
      <c r="G94" s="797"/>
      <c r="H94" s="796"/>
      <c r="I94" s="806" t="str">
        <f t="shared" si="5"/>
        <v/>
      </c>
      <c r="J94" s="782" t="str">
        <f t="shared" si="6"/>
        <v/>
      </c>
      <c r="K94" s="782" t="str">
        <f t="shared" si="7"/>
        <v/>
      </c>
      <c r="L94" s="782" t="str">
        <f t="shared" si="8"/>
        <v/>
      </c>
      <c r="M94" s="782" t="str">
        <f t="shared" si="9"/>
        <v/>
      </c>
    </row>
    <row r="95" spans="1:13" ht="13.2">
      <c r="A95" s="795"/>
      <c r="B95" s="795"/>
      <c r="C95" s="796"/>
      <c r="D95" s="796"/>
      <c r="E95" s="797"/>
      <c r="F95" s="796"/>
      <c r="G95" s="797"/>
      <c r="H95" s="796"/>
      <c r="I95" s="806" t="str">
        <f t="shared" si="5"/>
        <v/>
      </c>
      <c r="J95" s="782" t="str">
        <f t="shared" si="6"/>
        <v/>
      </c>
      <c r="K95" s="782" t="str">
        <f t="shared" si="7"/>
        <v/>
      </c>
      <c r="L95" s="782" t="str">
        <f t="shared" si="8"/>
        <v/>
      </c>
      <c r="M95" s="782" t="str">
        <f t="shared" si="9"/>
        <v/>
      </c>
    </row>
    <row r="96" spans="1:13" ht="13.2">
      <c r="A96" s="795"/>
      <c r="B96" s="795"/>
      <c r="C96" s="796"/>
      <c r="D96" s="796"/>
      <c r="E96" s="797"/>
      <c r="F96" s="796"/>
      <c r="G96" s="797"/>
      <c r="H96" s="796"/>
      <c r="I96" s="806" t="str">
        <f t="shared" si="5"/>
        <v/>
      </c>
      <c r="J96" s="782" t="str">
        <f t="shared" si="6"/>
        <v/>
      </c>
      <c r="K96" s="782" t="str">
        <f t="shared" si="7"/>
        <v/>
      </c>
      <c r="L96" s="782" t="str">
        <f t="shared" si="8"/>
        <v/>
      </c>
      <c r="M96" s="782" t="str">
        <f t="shared" si="9"/>
        <v/>
      </c>
    </row>
    <row r="97" spans="1:13" ht="13.2">
      <c r="A97" s="795"/>
      <c r="B97" s="795"/>
      <c r="C97" s="796"/>
      <c r="D97" s="796"/>
      <c r="E97" s="797"/>
      <c r="F97" s="796"/>
      <c r="G97" s="797"/>
      <c r="H97" s="796"/>
      <c r="I97" s="806" t="str">
        <f t="shared" si="5"/>
        <v/>
      </c>
      <c r="J97" s="782" t="str">
        <f t="shared" si="6"/>
        <v/>
      </c>
      <c r="K97" s="782" t="str">
        <f t="shared" si="7"/>
        <v/>
      </c>
      <c r="L97" s="782" t="str">
        <f t="shared" si="8"/>
        <v/>
      </c>
      <c r="M97" s="782" t="str">
        <f t="shared" si="9"/>
        <v/>
      </c>
    </row>
    <row r="98" spans="1:13" ht="13.2">
      <c r="A98" s="795"/>
      <c r="B98" s="795"/>
      <c r="C98" s="796"/>
      <c r="D98" s="796"/>
      <c r="E98" s="797"/>
      <c r="F98" s="796"/>
      <c r="G98" s="797"/>
      <c r="H98" s="796"/>
      <c r="I98" s="806" t="str">
        <f t="shared" si="5"/>
        <v/>
      </c>
      <c r="J98" s="782" t="str">
        <f t="shared" si="6"/>
        <v/>
      </c>
      <c r="K98" s="782" t="str">
        <f t="shared" si="7"/>
        <v/>
      </c>
      <c r="L98" s="782" t="str">
        <f t="shared" si="8"/>
        <v/>
      </c>
      <c r="M98" s="782" t="str">
        <f t="shared" si="9"/>
        <v/>
      </c>
    </row>
    <row r="99" spans="1:13" ht="13.2">
      <c r="A99" s="795"/>
      <c r="B99" s="795"/>
      <c r="C99" s="796"/>
      <c r="D99" s="796"/>
      <c r="E99" s="797"/>
      <c r="F99" s="796"/>
      <c r="G99" s="797"/>
      <c r="H99" s="796"/>
      <c r="I99" s="806" t="str">
        <f t="shared" si="5"/>
        <v/>
      </c>
      <c r="J99" s="782" t="str">
        <f t="shared" si="6"/>
        <v/>
      </c>
      <c r="K99" s="782" t="str">
        <f t="shared" si="7"/>
        <v/>
      </c>
      <c r="L99" s="782" t="str">
        <f t="shared" si="8"/>
        <v/>
      </c>
      <c r="M99" s="782" t="str">
        <f t="shared" si="9"/>
        <v/>
      </c>
    </row>
    <row r="100" spans="1:13" ht="13.2">
      <c r="A100" s="795"/>
      <c r="B100" s="795"/>
      <c r="C100" s="796"/>
      <c r="D100" s="796"/>
      <c r="E100" s="797"/>
      <c r="F100" s="796"/>
      <c r="G100" s="797"/>
      <c r="H100" s="796"/>
      <c r="I100" s="806" t="str">
        <f t="shared" si="5"/>
        <v/>
      </c>
      <c r="J100" s="782" t="str">
        <f t="shared" si="6"/>
        <v/>
      </c>
      <c r="K100" s="782" t="str">
        <f t="shared" si="7"/>
        <v/>
      </c>
      <c r="L100" s="782" t="str">
        <f t="shared" si="8"/>
        <v/>
      </c>
      <c r="M100" s="782" t="str">
        <f t="shared" si="9"/>
        <v/>
      </c>
    </row>
    <row r="101" spans="1:13" ht="13.2">
      <c r="A101" s="795"/>
      <c r="B101" s="795"/>
      <c r="C101" s="796"/>
      <c r="D101" s="796"/>
      <c r="E101" s="797"/>
      <c r="F101" s="796"/>
      <c r="G101" s="797"/>
      <c r="H101" s="796"/>
      <c r="I101" s="806" t="str">
        <f t="shared" si="5"/>
        <v/>
      </c>
      <c r="J101" s="782" t="str">
        <f t="shared" si="6"/>
        <v/>
      </c>
      <c r="K101" s="782" t="str">
        <f t="shared" si="7"/>
        <v/>
      </c>
      <c r="L101" s="782" t="str">
        <f t="shared" si="8"/>
        <v/>
      </c>
      <c r="M101" s="782" t="str">
        <f t="shared" si="9"/>
        <v/>
      </c>
    </row>
    <row r="102" spans="1:13" ht="13.2">
      <c r="A102" s="795"/>
      <c r="B102" s="795"/>
      <c r="C102" s="796"/>
      <c r="D102" s="796"/>
      <c r="E102" s="797"/>
      <c r="F102" s="796"/>
      <c r="G102" s="797"/>
      <c r="H102" s="796"/>
      <c r="I102" s="806" t="str">
        <f t="shared" si="5"/>
        <v/>
      </c>
      <c r="J102" s="782" t="str">
        <f t="shared" si="6"/>
        <v/>
      </c>
      <c r="K102" s="782" t="str">
        <f t="shared" si="7"/>
        <v/>
      </c>
      <c r="L102" s="782" t="str">
        <f t="shared" si="8"/>
        <v/>
      </c>
      <c r="M102" s="782" t="str">
        <f t="shared" si="9"/>
        <v/>
      </c>
    </row>
    <row r="103" spans="1:13" ht="13.2">
      <c r="A103" s="795"/>
      <c r="B103" s="795"/>
      <c r="C103" s="796"/>
      <c r="D103" s="796"/>
      <c r="E103" s="797"/>
      <c r="F103" s="796"/>
      <c r="G103" s="797"/>
      <c r="H103" s="796"/>
      <c r="I103" s="806" t="str">
        <f t="shared" si="5"/>
        <v/>
      </c>
      <c r="J103" s="782" t="str">
        <f t="shared" si="6"/>
        <v/>
      </c>
      <c r="K103" s="782" t="str">
        <f t="shared" si="7"/>
        <v/>
      </c>
      <c r="L103" s="782" t="str">
        <f t="shared" si="8"/>
        <v/>
      </c>
      <c r="M103" s="782" t="str">
        <f t="shared" si="9"/>
        <v/>
      </c>
    </row>
    <row r="104" spans="1:13" ht="13.2">
      <c r="A104" s="795"/>
      <c r="B104" s="795"/>
      <c r="C104" s="796"/>
      <c r="D104" s="796"/>
      <c r="E104" s="797"/>
      <c r="F104" s="796"/>
      <c r="G104" s="797"/>
      <c r="H104" s="796"/>
      <c r="I104" s="806" t="str">
        <f t="shared" si="5"/>
        <v/>
      </c>
      <c r="J104" s="782" t="str">
        <f t="shared" si="6"/>
        <v/>
      </c>
      <c r="K104" s="782" t="str">
        <f t="shared" si="7"/>
        <v/>
      </c>
      <c r="L104" s="782" t="str">
        <f t="shared" si="8"/>
        <v/>
      </c>
      <c r="M104" s="782" t="str">
        <f t="shared" si="9"/>
        <v/>
      </c>
    </row>
    <row r="105" spans="1:13" ht="13.2">
      <c r="A105" s="795"/>
      <c r="B105" s="795"/>
      <c r="C105" s="796"/>
      <c r="D105" s="796"/>
      <c r="E105" s="797"/>
      <c r="F105" s="796"/>
      <c r="G105" s="797"/>
      <c r="H105" s="796"/>
      <c r="I105" s="806" t="str">
        <f t="shared" si="5"/>
        <v/>
      </c>
      <c r="J105" s="782" t="str">
        <f t="shared" si="6"/>
        <v/>
      </c>
      <c r="K105" s="782" t="str">
        <f t="shared" si="7"/>
        <v/>
      </c>
      <c r="L105" s="782" t="str">
        <f t="shared" si="8"/>
        <v/>
      </c>
      <c r="M105" s="782" t="str">
        <f t="shared" si="9"/>
        <v/>
      </c>
    </row>
    <row r="106" spans="1:13" ht="13.2">
      <c r="A106" s="795"/>
      <c r="B106" s="795"/>
      <c r="C106" s="796"/>
      <c r="D106" s="796"/>
      <c r="E106" s="797"/>
      <c r="F106" s="796"/>
      <c r="G106" s="797"/>
      <c r="H106" s="796"/>
      <c r="I106" s="806" t="str">
        <f t="shared" si="5"/>
        <v/>
      </c>
      <c r="J106" s="782" t="str">
        <f t="shared" si="6"/>
        <v/>
      </c>
      <c r="K106" s="782" t="str">
        <f t="shared" si="7"/>
        <v/>
      </c>
      <c r="L106" s="782" t="str">
        <f t="shared" si="8"/>
        <v/>
      </c>
      <c r="M106" s="782" t="str">
        <f t="shared" si="9"/>
        <v/>
      </c>
    </row>
    <row r="107" spans="1:13" ht="13.2">
      <c r="A107" s="795"/>
      <c r="B107" s="795"/>
      <c r="C107" s="796"/>
      <c r="D107" s="796"/>
      <c r="E107" s="797"/>
      <c r="F107" s="796"/>
      <c r="G107" s="797"/>
      <c r="H107" s="796"/>
      <c r="I107" s="806" t="str">
        <f t="shared" si="5"/>
        <v/>
      </c>
      <c r="J107" s="782" t="str">
        <f t="shared" si="6"/>
        <v/>
      </c>
      <c r="K107" s="782" t="str">
        <f t="shared" si="7"/>
        <v/>
      </c>
      <c r="L107" s="782" t="str">
        <f t="shared" si="8"/>
        <v/>
      </c>
      <c r="M107" s="782" t="str">
        <f t="shared" si="9"/>
        <v/>
      </c>
    </row>
    <row r="108" spans="1:13" ht="13.2">
      <c r="A108" s="795"/>
      <c r="B108" s="795"/>
      <c r="C108" s="796"/>
      <c r="D108" s="796"/>
      <c r="E108" s="797"/>
      <c r="F108" s="796"/>
      <c r="G108" s="797"/>
      <c r="H108" s="796"/>
      <c r="I108" s="806" t="str">
        <f t="shared" si="5"/>
        <v/>
      </c>
      <c r="J108" s="782" t="str">
        <f t="shared" si="6"/>
        <v/>
      </c>
      <c r="K108" s="782" t="str">
        <f t="shared" si="7"/>
        <v/>
      </c>
      <c r="L108" s="782" t="str">
        <f t="shared" si="8"/>
        <v/>
      </c>
      <c r="M108" s="782" t="str">
        <f t="shared" si="9"/>
        <v/>
      </c>
    </row>
    <row r="109" spans="1:13" ht="13.2">
      <c r="A109" s="795"/>
      <c r="B109" s="795"/>
      <c r="C109" s="796"/>
      <c r="D109" s="796"/>
      <c r="E109" s="797"/>
      <c r="F109" s="796"/>
      <c r="G109" s="797"/>
      <c r="H109" s="796"/>
      <c r="I109" s="806" t="str">
        <f t="shared" si="5"/>
        <v/>
      </c>
      <c r="J109" s="782" t="str">
        <f t="shared" si="6"/>
        <v/>
      </c>
      <c r="K109" s="782" t="str">
        <f t="shared" si="7"/>
        <v/>
      </c>
      <c r="L109" s="782" t="str">
        <f t="shared" si="8"/>
        <v/>
      </c>
      <c r="M109" s="782" t="str">
        <f t="shared" si="9"/>
        <v/>
      </c>
    </row>
    <row r="110" spans="1:13" ht="13.2">
      <c r="A110" s="795"/>
      <c r="B110" s="795"/>
      <c r="C110" s="796"/>
      <c r="D110" s="796"/>
      <c r="E110" s="797"/>
      <c r="F110" s="796"/>
      <c r="G110" s="797"/>
      <c r="H110" s="796"/>
      <c r="I110" s="806" t="str">
        <f t="shared" si="5"/>
        <v/>
      </c>
      <c r="J110" s="782" t="str">
        <f t="shared" si="6"/>
        <v/>
      </c>
      <c r="K110" s="782" t="str">
        <f t="shared" si="7"/>
        <v/>
      </c>
      <c r="L110" s="782" t="str">
        <f t="shared" si="8"/>
        <v/>
      </c>
      <c r="M110" s="782" t="str">
        <f t="shared" si="9"/>
        <v/>
      </c>
    </row>
    <row r="111" spans="1:13" ht="13.2">
      <c r="A111" s="795"/>
      <c r="B111" s="795"/>
      <c r="C111" s="796"/>
      <c r="D111" s="796"/>
      <c r="E111" s="796"/>
      <c r="F111" s="797"/>
      <c r="G111" s="796"/>
      <c r="H111" s="797"/>
      <c r="I111" s="806" t="str">
        <f t="shared" si="5"/>
        <v/>
      </c>
      <c r="J111" s="782" t="str">
        <f t="shared" si="6"/>
        <v/>
      </c>
      <c r="K111" s="782" t="str">
        <f t="shared" si="7"/>
        <v/>
      </c>
      <c r="L111" s="782" t="str">
        <f t="shared" si="8"/>
        <v/>
      </c>
      <c r="M111" s="782" t="str">
        <f t="shared" si="9"/>
        <v/>
      </c>
    </row>
    <row r="112" spans="1:13" ht="13.2">
      <c r="A112" s="795"/>
      <c r="B112" s="795"/>
      <c r="C112" s="796"/>
      <c r="D112" s="796"/>
      <c r="E112" s="797"/>
      <c r="F112" s="796"/>
      <c r="G112" s="797"/>
      <c r="H112" s="796"/>
      <c r="I112" s="806" t="str">
        <f t="shared" si="5"/>
        <v/>
      </c>
      <c r="J112" s="782" t="str">
        <f t="shared" si="6"/>
        <v/>
      </c>
      <c r="K112" s="782" t="str">
        <f t="shared" si="7"/>
        <v/>
      </c>
      <c r="L112" s="782" t="str">
        <f t="shared" si="8"/>
        <v/>
      </c>
      <c r="M112" s="782" t="str">
        <f t="shared" si="9"/>
        <v/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customWidth="true" style="87" width="5.0"/>
    <col min="2" max="2" customWidth="true" style="87" width="50.4285714285714"/>
    <col min="3" max="3" customWidth="true" style="87" width="1.71428571428571"/>
    <col min="4" max="9" customWidth="true" style="87" width="3.42857142857143"/>
    <col min="10" max="10" customWidth="true" style="87" width="1.71428571428571"/>
    <col min="11" max="11" customWidth="true" style="87" width="4.28571428571429"/>
    <col min="12" max="12" customWidth="true" style="87" width="27.8571428571429"/>
    <col min="13" max="13" customWidth="true" style="87" width="20.7142857142857"/>
    <col min="14" max="19" customWidth="true" style="87" width="2.71428571428571"/>
    <col min="20" max="20" customWidth="true" style="261" width="4.42857142857143"/>
    <col min="21" max="256" customWidth="true" style="87" width="13.4285714285714"/>
    <col min="257" max="16384" style="85" width="13.4285714285714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0</v>
      </c>
      <c r="M33" s="128">
        <f>IFERROR(+L33/$L$59,0)</f>
        <v>0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0</v>
      </c>
      <c r="M59" s="687">
        <f>SUM(M32:M57)</f>
        <v>0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customWidth="true" style="87" width="26.0"/>
    <col min="2" max="2" customWidth="true" style="87" width="17.7142857142857"/>
    <col min="3" max="3" customWidth="true" style="87" width="20.8571428571429"/>
    <col min="4" max="5" customWidth="true" style="87" width="17.7142857142857"/>
    <col min="6" max="256" customWidth="true" style="87" width="13.4285714285714"/>
    <col min="257" max="16384" style="139" width="13.4285714285714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customWidth="true" style="509" width="20.2857142857143"/>
    <col min="2" max="2" customWidth="true" style="510" width="70.2857142857143"/>
    <col min="3" max="3" customWidth="true" style="149" width="8.71428571428571"/>
    <col min="4" max="4" customWidth="true" style="149" width="14.7142857142857"/>
    <col min="5" max="16384" style="149" width="12.0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customWidth="true" style="2" width="9.28571428571429"/>
    <col min="2" max="2" customWidth="true" style="4" width="71.7142857142857"/>
    <col min="3" max="3" customWidth="true" style="2" width="4.71428571428571"/>
    <col min="4" max="6" customWidth="true" style="2" width="16.0"/>
    <col min="7" max="7" customWidth="true" style="2" width="18.0"/>
    <col min="8" max="8" customWidth="true" style="2" width="4.71428571428571"/>
    <col min="9" max="9" bestFit="true" customWidth="true" style="4" width="56.2857142857143"/>
    <col min="10" max="10" customWidth="true" style="2" width="4.71428571428571"/>
    <col min="11" max="11" customWidth="true" style="2" width="19.7142857142857"/>
    <col min="12" max="12" customWidth="true" style="2" width="16.0"/>
    <col min="13" max="16384" style="2" width="12.0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0</v>
      </c>
      <c r="L8" s="299">
        <f>+SUMIF('BAL N'!J:J,"=101",'BAL N'!D:D)+SUMIF('BAL N'!J:J,"=102",'BAL N'!D:D)+SUMIF('BAL N'!J:J,"=103",'BAL N'!D:D)+SUMIF('BAL N'!J:J,"=104",'BAL N'!D:D)</f>
        <v>0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0</v>
      </c>
      <c r="L12" s="810">
        <f>+SUMIF('BAL N'!J:J,"=111",'BAL N'!D:D)+SUMIF('BAL N'!J:J,"=112",'BAL N'!D:D)+SUMIF('BAL N'!J:J,"=113",'BAL N'!D:D)</f>
        <v>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0</v>
      </c>
      <c r="E13" s="575">
        <f>SUM(E14:E19)</f>
        <v>0</v>
      </c>
      <c r="F13" s="575">
        <f>SUM(F14:F19)</f>
        <v>0</v>
      </c>
      <c r="G13" s="575">
        <f>SUM(G14:G19)</f>
        <v>0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0</v>
      </c>
      <c r="L13" s="810">
        <f>+SUMIF('BAL N'!J:J,"=118",'BAL N'!D:D)</f>
        <v>0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0</v>
      </c>
      <c r="E14" s="16">
        <f>+SUMIF('BAL N'!J:J,"=282",'BAL N'!H:H)+SUMIF('BAL N'!J:J,"=292",'BAL N'!H:H)</f>
        <v>0</v>
      </c>
      <c r="F14" s="17">
        <f t="shared" si="0" ref="F14:F19">+D14-E14</f>
        <v>0</v>
      </c>
      <c r="G14" s="15">
        <f>+SUMIF('BAL N'!I:I,"=22",'BAL N'!C:C)-(SUMIF('BAL N'!J:J,"=282",'BAL N'!D:D)+SUMIF('BAL N'!J:J,"=292",'BAL N'!D:D))</f>
        <v>0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0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0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7">
        <f t="shared" si="0"/>
        <v>0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0</v>
      </c>
      <c r="L15" s="13">
        <f>-SUMIF('BAL N'!J:J,"=131",'BAL N'!C:C)+SUMIF('BAL N'!J:J,"=131",'BAL N'!D:D)</f>
        <v>0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0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7">
        <f t="shared" si="0"/>
        <v>0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0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0</v>
      </c>
      <c r="E17" s="14">
        <f>+SUMIF('BAL N'!J:J,"=284",'BAL N'!H:H)-SUMIF('BAL N'!K:K,"=2845",'BAL N'!H:H)+SUMIF('BAL N'!J:J,"=294",'BAL N'!H:H)-SUMIF('BAL N'!K:K,"=2945",'BAL N'!H:H)-SUMIF('BAL N'!K:K,"=2949",'BAL N'!H:H)</f>
        <v>0</v>
      </c>
      <c r="F17" s="17">
        <f t="shared" si="0"/>
        <v>0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0</v>
      </c>
      <c r="E18" s="14">
        <f>+SUMIF('BAL N'!K:K,"=2845",'BAL N'!H:H)+SUMIF('BAL N'!K:K,"=2849",'BAL N'!H:H)+SUMIF('BAL N'!K:K,"=2945",'BAL N'!H:H)</f>
        <v>0</v>
      </c>
      <c r="F18" s="17">
        <f t="shared" si="0"/>
        <v>0</v>
      </c>
      <c r="G18" s="13">
        <f>+SUMIF('BAL N'!J:J,"=245",'BAL N'!C:C)+SUMIF('BAL N'!K:K,"=2495",'BAL N'!C:C)-(+SUMIF('BAL N'!K:K,"=2845",'BAL N'!D:D)+SUMIF('BAL N'!K:K,"=2849",'BAL N'!D:D)+SUMIF('BAL N'!K:K,"=2945",'BAL N'!D:D))</f>
        <v>0</v>
      </c>
      <c r="H18" s="28" t="s">
        <v>258</v>
      </c>
      <c r="I18" s="29" t="s">
        <v>259</v>
      </c>
      <c r="J18" s="30"/>
      <c r="K18" s="31">
        <f>SUM(K8:K17)</f>
        <v>0</v>
      </c>
      <c r="L18" s="31">
        <f>SUM(L8:L17)</f>
        <v>0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0</v>
      </c>
      <c r="E20" s="578">
        <f>SUM(E21:E22)</f>
        <v>0</v>
      </c>
      <c r="F20" s="578">
        <f>SUM(F21:F22)</f>
        <v>0</v>
      </c>
      <c r="G20" s="578">
        <f>SUM(G21:G22)</f>
        <v>0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0</v>
      </c>
      <c r="E22" s="14">
        <f>+SUMIF('BAL N'!J:J,"=297",'BAL N'!H:H)</f>
        <v>0</v>
      </c>
      <c r="F22" s="18">
        <f>+D22-E22</f>
        <v>0</v>
      </c>
      <c r="G22" s="13">
        <f>+SUMIF('BAL N'!I:I,"=27",'BAL N'!C:C)-SUMIF('BAL N'!J:J,"=297",'BAL N'!D:D)</f>
        <v>0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0</v>
      </c>
      <c r="E23" s="579">
        <f>+E20+E13+E8</f>
        <v>0</v>
      </c>
      <c r="F23" s="579">
        <f>+F20+F13+F8</f>
        <v>0</v>
      </c>
      <c r="G23" s="579">
        <f>+G20+G13+G8</f>
        <v>0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4">
        <f>+SUMIF('BAL N'!I:I,"=39",'BAL N'!H:H)</f>
        <v>0</v>
      </c>
      <c r="F25" s="18">
        <f t="shared" si="1"/>
        <v>0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0</v>
      </c>
      <c r="L25" s="13">
        <f>+SUMIF('BAL N'!J:J,"=419",'BAL N'!D:D)</f>
        <v>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0</v>
      </c>
      <c r="L26" s="13">
        <f>+SUMIF('BAL N'!J:J,"=401",'BAL N'!D:D)+SUMIF('BAL N'!J:J,"=402",'BAL N'!D:D)+SUMIF('BAL N'!J:J,"=408",'BAL N'!D:D)-SUMIF('BAL N'!J:J,"=401",'BAL N'!C:C)</f>
        <v>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0</v>
      </c>
      <c r="E27" s="14">
        <f>+SUMIF('BAL N'!J:J,"=490",'BAL N'!H:H)</f>
        <v>0</v>
      </c>
      <c r="F27" s="18">
        <f t="shared" si="1"/>
        <v>0</v>
      </c>
      <c r="G27" s="13">
        <f>+SUMIF('BAL N'!I:I,"=40",'BAL N'!C:C)-SUMIF('BAL N'!J:J,"=490",'BAL N'!D:D)-SUMIF('BAL N'!J:J,"409",'BAL N'!D:D)</f>
        <v>0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0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0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0</v>
      </c>
      <c r="E28" s="14">
        <f>+SUMIF('BAL N'!J:J,"=491",'BAL N'!H:H)</f>
        <v>0</v>
      </c>
      <c r="F28" s="18">
        <f t="shared" si="1"/>
        <v>0</v>
      </c>
      <c r="G28" s="13">
        <f>+SUMIF('BAL N'!I:I,"=41",'BAL N'!C:C)-SUMIF('BAL N'!J:J,"=491",'BAL N'!D:D)-SUMIF('BAL N'!J:J,"=411",'BAL N'!D:D)</f>
        <v>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0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0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0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0</v>
      </c>
      <c r="E30" s="579">
        <f>SUM(E24:E29)</f>
        <v>0</v>
      </c>
      <c r="F30" s="579">
        <f>SUM(F24:F29)</f>
        <v>0</v>
      </c>
      <c r="G30" s="579">
        <f>SUM(G24:G29)</f>
        <v>0</v>
      </c>
      <c r="H30" s="34" t="s">
        <v>304</v>
      </c>
      <c r="I30" s="35" t="s">
        <v>305</v>
      </c>
      <c r="J30" s="36"/>
      <c r="K30" s="37">
        <f>SUM(K24:K29)</f>
        <v>0</v>
      </c>
      <c r="L30" s="37">
        <f>SUM(L24:L29)</f>
        <v>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4">
        <f>+SUMIF('BAL N'!J:J,"=592",'BAL N'!H:H)+SUMIF('BAL N'!J:J,"=593",'BAL N'!H:H)+SUMIF('BAL N'!J:J,"=594",'BAL N'!H:H)</f>
        <v>0</v>
      </c>
      <c r="F33" s="18">
        <f>+D33-E33</f>
        <v>0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0</v>
      </c>
      <c r="E34" s="579">
        <f>SUM(E31:E33)</f>
        <v>0</v>
      </c>
      <c r="F34" s="579">
        <f>SUM(F31:F33)</f>
        <v>0</v>
      </c>
      <c r="G34" s="579">
        <f>SUM(G31:G33)</f>
        <v>0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0</v>
      </c>
      <c r="E36" s="579">
        <f>+E34+E30+E23</f>
        <v>0</v>
      </c>
      <c r="F36" s="579">
        <f>+F34+F30+F23</f>
        <v>0</v>
      </c>
      <c r="G36" s="579">
        <f>+G34+G30+G23</f>
        <v>0</v>
      </c>
      <c r="H36" s="34" t="s">
        <v>325</v>
      </c>
      <c r="I36" s="35" t="s">
        <v>324</v>
      </c>
      <c r="J36" s="36"/>
      <c r="K36" s="37">
        <f>+K34+K30+K22+K18</f>
        <v>0</v>
      </c>
      <c r="L36" s="37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customWidth="true" style="57" width="15.2857142857143"/>
    <col min="2" max="2" bestFit="true" customWidth="true" style="42" width="65.2857142857143"/>
    <col min="3" max="3" bestFit="true" customWidth="true" style="42" width="3.71428571428571"/>
    <col min="4" max="4" customWidth="true" style="42" width="15.8571428571429"/>
    <col min="5" max="6" customWidth="true" style="43" width="18.2857142857143"/>
    <col min="7" max="16384" style="42" width="12.0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0</v>
      </c>
      <c r="F10" s="37">
        <f>+F14-F8-F9</f>
        <v>0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0</v>
      </c>
      <c r="F11" s="51">
        <f>+SUMIF('BAL N-1'!J:J,"=702",'BAL N-1'!H:H)+SUMIF('BAL N-1'!J:J,"=703",'BAL N-1'!H:H)+SUMIF('BAL N-1'!J:J,"=704",'BAL N-1'!H:H)</f>
        <v>0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0</v>
      </c>
      <c r="F14" s="37">
        <f>+F7+F13+F12+F11</f>
        <v>0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0</v>
      </c>
      <c r="F20" s="51">
        <f>+SUMIF('BAL N-1'!J:J,"=602",'BAL N-1'!G:G)</f>
        <v>0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0</v>
      </c>
      <c r="F21" s="51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0</v>
      </c>
      <c r="F22" s="51">
        <f>+SUMIF('BAL N-1'!J:J,"=604",'BAL N-1'!G:G)+SUMIF('BAL N-1'!J:J,"=605",'BAL N-1'!G:G)+SUMIF('BAL N-1'!J:J,"=608",'BAL N-1'!G:G)+SUMIF('BAL N-1'!J:J,"=606",'BAL N-1'!G:G)</f>
        <v>0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0</v>
      </c>
      <c r="F24" s="51">
        <f>+SUMIF('BAL N-1'!I:I,"=61",'BAL N-1'!G:G)</f>
        <v>0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0</v>
      </c>
      <c r="F25" s="51">
        <f>+SUMIF('BAL N-1'!I:I,"=62",'BAL N-1'!G:G)+SUMIF('BAL N-1'!I:I,"=63",'BAL N-1'!G:G)</f>
        <v>0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0</v>
      </c>
      <c r="F26" s="51">
        <f>+SUMIF('BAL N-1'!I:I,"=64",'BAL N-1'!G:G)</f>
        <v>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0</v>
      </c>
      <c r="F27" s="51">
        <f>+SUMIF('BAL N-1'!I:I,"=65",'BAL N-1'!G:G)</f>
        <v>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0</v>
      </c>
      <c r="F28" s="37">
        <f>+F10+F15+F16+F17+F18+F19-F20-F21-F22-F23-F24-F25-F26-F27</f>
        <v>0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0</v>
      </c>
      <c r="F29" s="51">
        <f>+SUMIF('BAL N-1'!I:I,"=66",'BAL N-1'!G:G)</f>
        <v>0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0</v>
      </c>
      <c r="F30" s="37">
        <f>+F28-F29</f>
        <v>0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0</v>
      </c>
      <c r="F32" s="609">
        <f>+SUMIF('BAL N-1'!J:J,"=681",'BAL N-1'!G:G)+SUMIF('BAL N-1'!J:J,"=691",'BAL N-1'!G:G)</f>
        <v>0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0</v>
      </c>
      <c r="F33" s="37">
        <f>+F30+F31-F32</f>
        <v>0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0</v>
      </c>
      <c r="F40" s="31">
        <f>+F33+F39</f>
        <v>0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0</v>
      </c>
      <c r="F47" s="51">
        <f>+SUMIF('BAL N-1'!I:I,"=89",'BAL N-1'!G:G)</f>
        <v>0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0</v>
      </c>
      <c r="F48" s="37">
        <f>+F40+F45-F46-F47</f>
        <v>0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customWidth="true" style="5" width="16.7142857142857"/>
    <col min="2" max="2" bestFit="true" customWidth="true" style="4" width="83.0"/>
    <col min="3" max="3" bestFit="true" customWidth="true" style="4" width="3.71428571428571"/>
    <col min="4" max="4" customWidth="true" style="4" width="17.0"/>
    <col min="5" max="6" customWidth="true" style="867" width="18.2857142857143"/>
    <col min="7" max="16384" style="4" width="12.0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0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0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0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0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0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0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0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0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0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customWidth="true" style="150" width="41.2857142857143"/>
    <col min="2" max="2" bestFit="true" customWidth="true" style="150" width="5.71428571428571"/>
    <col min="3" max="3" bestFit="true" customWidth="true" style="275" width="13.7142857142857"/>
    <col min="4" max="4" customWidth="true" style="150" width="17.0"/>
    <col min="5" max="6" customWidth="true" style="150" width="14.7142857142857"/>
    <col min="7" max="16384" style="150" width="12.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0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0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0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0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0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0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0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0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customWidth="true" style="150" width="41.2857142857143"/>
    <col min="2" max="2" customWidth="true" style="150" width="56.4285714285714"/>
    <col min="3" max="3" customWidth="true" style="150" width="22.2857142857143"/>
    <col min="4" max="16384" style="150" width="12.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customWidth="true" style="150" width="41.2857142857143"/>
    <col min="2" max="2" bestFit="true" customWidth="true" style="150" width="17.7142857142857"/>
    <col min="3" max="7" customWidth="true" style="150" width="13.7142857142857"/>
    <col min="8" max="8" customWidth="true" style="150" width="15.2857142857143"/>
    <col min="9" max="16384" style="150" width="12.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0</v>
      </c>
      <c r="C16" s="811"/>
      <c r="D16" s="811"/>
      <c r="E16" s="811"/>
      <c r="F16" s="811"/>
      <c r="G16" s="811"/>
      <c r="H16" s="811">
        <f t="shared" si="0"/>
        <v>0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0</v>
      </c>
      <c r="C18" s="816"/>
      <c r="D18" s="816"/>
      <c r="E18" s="816"/>
      <c r="F18" s="816"/>
      <c r="G18" s="816"/>
      <c r="H18" s="811">
        <f t="shared" si="0"/>
        <v>0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0</v>
      </c>
      <c r="C20" s="816"/>
      <c r="D20" s="816"/>
      <c r="E20" s="816"/>
      <c r="F20" s="816"/>
      <c r="G20" s="816"/>
      <c r="H20" s="811">
        <f t="shared" si="0"/>
        <v>0</v>
      </c>
    </row>
    <row r="21" spans="1:8" ht="13.8">
      <c r="A21" s="815" t="s">
        <v>253</v>
      </c>
      <c r="B21" s="816">
        <f>+SUMIF('BAL N'!I:I,"=24",'BAL N'!G:G)-SUMIF('BAL N'!J:J,"=245",'BAL N'!G:G)</f>
        <v>0</v>
      </c>
      <c r="C21" s="816"/>
      <c r="D21" s="816"/>
      <c r="E21" s="816"/>
      <c r="F21" s="816"/>
      <c r="G21" s="816"/>
      <c r="H21" s="811">
        <f t="shared" si="0"/>
        <v>0</v>
      </c>
    </row>
    <row r="22" spans="1:8" ht="13.8">
      <c r="A22" s="815" t="s">
        <v>257</v>
      </c>
      <c r="B22" s="816">
        <f>+SUMIF('BAL N'!J:J,"=245",'BAL N'!G:G)</f>
        <v>0</v>
      </c>
      <c r="C22" s="816"/>
      <c r="D22" s="816"/>
      <c r="E22" s="816"/>
      <c r="F22" s="816"/>
      <c r="G22" s="816"/>
      <c r="H22" s="811">
        <f t="shared" si="0"/>
        <v>0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0</v>
      </c>
      <c r="C26" s="816"/>
      <c r="D26" s="816"/>
      <c r="E26" s="816"/>
      <c r="F26" s="816"/>
      <c r="G26" s="816"/>
      <c r="H26" s="811">
        <f t="shared" si="0"/>
        <v>0</v>
      </c>
    </row>
    <row r="27" spans="1:8" ht="20.1" customHeight="1">
      <c r="A27" s="818" t="s">
        <v>324</v>
      </c>
      <c r="B27" s="819">
        <f t="shared" si="1" ref="B27:G27">SUM(B11:B26)</f>
        <v>0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0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customWidth="true" style="150" width="41.2857142857143"/>
    <col min="2" max="2" bestFit="true" customWidth="true" style="150" width="13.7142857142857"/>
    <col min="3" max="4" customWidth="true" style="150" width="13.7142857142857"/>
    <col min="5" max="5" bestFit="true" customWidth="true" style="150" width="12.2857142857143"/>
    <col min="6" max="6" customWidth="true" style="150" width="15.2857142857143"/>
    <col min="7" max="9" customWidth="true" style="150" width="13.7142857142857"/>
    <col min="10" max="16384" style="150" width="12.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customWidth="true" style="150" width="41.2857142857143"/>
    <col min="2" max="2" customWidth="true" style="150" width="16.7142857142857"/>
    <col min="3" max="3" customWidth="true" style="150" width="16.0"/>
    <col min="4" max="4" customWidth="true" style="150" width="19.0"/>
    <col min="5" max="5" customWidth="true" style="150" width="19.7142857142857"/>
    <col min="6" max="16384" style="150" width="12.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0</v>
      </c>
      <c r="C15" s="267">
        <f>+SUMIF('BAL N'!J:J,"=282",'BAL N'!F:F)-SUMIF('BAL N'!K:K,"=2828",'BAL N'!F:F)</f>
        <v>0</v>
      </c>
      <c r="D15" s="267">
        <f>+SUMIF('BAL N'!J:J,"=282",'BAL N'!E:E)-SUMIF('BAL N'!K:K,"=2828",'BAL N'!E:E)</f>
        <v>0</v>
      </c>
      <c r="E15" s="153">
        <f t="shared" si="0"/>
        <v>0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0</v>
      </c>
      <c r="C17" s="267">
        <f>+SUMIF('BAL N'!J:J,"=283",'BAL N'!F:F)-SUMIF('BAL N'!L:L,"=28315",'BAL N'!F:F)-SUMIF('BAL N'!L:L,"=28325",'BAL N'!F:F)</f>
        <v>0</v>
      </c>
      <c r="D17" s="267">
        <f>+SUMIF('BAL N'!J:J,"=283",'BAL N'!E:E)-SUMIF('BAL N'!L:L,"=28315",'BAL N'!E:E)-SUMIF('BAL N'!L:L,"=28325",'BAL N'!E:E)</f>
        <v>0</v>
      </c>
      <c r="E17" s="153">
        <f t="shared" si="0"/>
        <v>0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0</v>
      </c>
      <c r="C19" s="267">
        <f>+SUMIF('BAL N'!K:K,"=2834",'BAL N'!F:F)+SUMIF('BAL N'!K:K,"=2835",'BAL N'!F:F)</f>
        <v>0</v>
      </c>
      <c r="D19" s="267">
        <f>+SUMIF('BAL N'!K:K,"=2834",'BAL N'!E:E)+SUMIF('BAL N'!K:K,"=2835",'BAL N'!E:E)</f>
        <v>0</v>
      </c>
      <c r="E19" s="153">
        <f t="shared" si="0"/>
        <v>0</v>
      </c>
    </row>
    <row r="20" spans="1:5" ht="13.8">
      <c r="A20" s="284" t="s">
        <v>253</v>
      </c>
      <c r="B20" s="267">
        <f>+SUMIF('BAL N'!J:J,"=284",'BAL N'!D:D)-SUMIF('BAL N'!K:K,"=2845",'BAL N'!D:D)</f>
        <v>0</v>
      </c>
      <c r="C20" s="267">
        <f>+SUMIF('BAL N'!J:J,"=284",'BAL N'!F:F)-SUMIF('BAL N'!K:K,"=2845",'BAL N'!F:F)</f>
        <v>0</v>
      </c>
      <c r="D20" s="267">
        <f>+SUMIF('BAL N'!J:J,"=284",'BAL N'!E:E)-SUMIF('BAL N'!K:K,"=2845",'BAL N'!E:E)</f>
        <v>0</v>
      </c>
      <c r="E20" s="153">
        <f t="shared" si="0"/>
        <v>0</v>
      </c>
    </row>
    <row r="21" spans="1:5" ht="13.8">
      <c r="A21" s="284" t="s">
        <v>257</v>
      </c>
      <c r="B21" s="267">
        <f>+SUMIF('BAL N'!K:K,"=2845",'BAL N'!D:D)</f>
        <v>0</v>
      </c>
      <c r="C21" s="267">
        <f>+SUMIF('BAL N'!K:K,"=2845",'BAL N'!F:F)</f>
        <v>0</v>
      </c>
      <c r="D21" s="267">
        <f>+SUMIF('BAL N'!K:K,"=2845",'BAL N'!E:E)</f>
        <v>0</v>
      </c>
      <c r="E21" s="153">
        <f t="shared" si="0"/>
        <v>0</v>
      </c>
    </row>
    <row r="22" spans="1:5" ht="13.8">
      <c r="A22" s="287" t="s">
        <v>541</v>
      </c>
      <c r="B22" s="612">
        <f>SUM(B15:B21)</f>
        <v>0</v>
      </c>
      <c r="C22" s="612">
        <f>SUM(C15:C21)</f>
        <v>0</v>
      </c>
      <c r="D22" s="612">
        <f>SUM(D15:D21)</f>
        <v>0</v>
      </c>
      <c r="E22" s="612">
        <f>+B22+C22-D22</f>
        <v>0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0</v>
      </c>
      <c r="C24" s="615">
        <f>SUM(C14,C22)</f>
        <v>0</v>
      </c>
      <c r="D24" s="615">
        <f>SUM(D14,D22)</f>
        <v>0</v>
      </c>
      <c r="E24" s="615">
        <f>SUM(B24:D24)</f>
        <v>0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customWidth="true" style="150" width="41.2857142857143"/>
    <col min="2" max="6" customWidth="true" style="150" width="18.2857142857143"/>
    <col min="7" max="16384" style="150" width="12.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customWidth="true" style="193" width="41.2857142857143"/>
    <col min="2" max="3" customWidth="true" style="193" width="37.7142857142857"/>
    <col min="4" max="4" customWidth="true" style="193" width="14.7142857142857"/>
    <col min="5" max="16384" style="193" width="12.0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customWidth="true" style="150" width="36.4285714285714"/>
    <col min="2" max="2" customWidth="true" style="150" width="27.2857142857143"/>
    <col min="3" max="3" customWidth="true" style="150" width="20.7142857142857"/>
    <col min="4" max="4" customWidth="true" style="150" width="22.2857142857143"/>
    <col min="5" max="5" customWidth="true" style="150" width="18.7142857142857"/>
    <col min="6" max="6" customWidth="true" style="150" width="18.2857142857143"/>
    <col min="7" max="7" customWidth="true" style="150" width="16.7142857142857"/>
    <col min="8" max="16384" style="150" width="12.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0</v>
      </c>
      <c r="C11" s="153">
        <f>+SUMIF('BAL N'!I:I,"=272",'BAL N'!C:C)</f>
        <v>0</v>
      </c>
      <c r="D11" s="824">
        <f t="shared" si="0"/>
        <v>0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0</v>
      </c>
      <c r="C14" s="616">
        <f>+SUMIF('BAL N'!J:J,"=275",'BAL N'!C:C)</f>
        <v>0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0</v>
      </c>
      <c r="C16" s="612">
        <f>SUM(C9:C15)</f>
        <v>0</v>
      </c>
      <c r="D16" s="825">
        <f t="shared" si="0"/>
        <v>0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customWidth="true" style="150" width="39.4285714285714"/>
    <col min="2" max="2" customWidth="true" style="150" width="11.5714285714286"/>
    <col min="3" max="3" customWidth="true" style="150" width="11.2857142857143"/>
    <col min="4" max="4" customWidth="true" style="150" width="19.2857142857143"/>
    <col min="5" max="7" customWidth="true" style="150" width="13.7142857142857"/>
    <col min="8" max="16384" style="150" width="12.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customWidth="true" style="150" width="39.4285714285714"/>
    <col min="2" max="2" customWidth="true" style="150" width="28.7142857142857"/>
    <col min="3" max="3" customWidth="true" style="150" width="26.7142857142857"/>
    <col min="4" max="4" customWidth="true" style="150" width="21.0"/>
    <col min="5" max="16384" style="150" width="12.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0</v>
      </c>
      <c r="C9" s="619">
        <f>+SUMIF('BAL N'!I:I,"=32",'BAL N'!C:C)</f>
        <v>0</v>
      </c>
      <c r="D9" s="826">
        <f>IFERROR((B9-C9)/B9,0)</f>
        <v>0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0</v>
      </c>
      <c r="C16" s="688">
        <f>SUM(C8:C15)</f>
        <v>0</v>
      </c>
      <c r="D16" s="827">
        <f t="shared" si="0"/>
        <v>0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customWidth="true" style="150" width="36.4285714285714"/>
    <col min="2" max="2" bestFit="true" customWidth="true" style="150" width="19.0"/>
    <col min="3" max="3" bestFit="true" customWidth="true" style="150" width="19.2857142857143"/>
    <col min="4" max="4" customWidth="true" style="150" width="14.1428571428571"/>
    <col min="5" max="7" customWidth="true" style="150" width="13.7142857142857"/>
    <col min="8" max="16384" style="150" width="12.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0</v>
      </c>
      <c r="C9" s="625">
        <f>+SUMIF('BAL N'!J:J,"=411",'BAL N'!C:C)-SUMIF('BAL N'!K:K,"=4116",'BAL N'!C:C)</f>
        <v>0</v>
      </c>
      <c r="D9" s="623">
        <f>IFERROR((B9-C9)/B9,0)</f>
        <v>0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0</v>
      </c>
      <c r="C17" s="613">
        <f>SUM(C9:C16)</f>
        <v>0</v>
      </c>
      <c r="D17" s="692">
        <f t="shared" si="0"/>
        <v>0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0</v>
      </c>
      <c r="C20" s="267">
        <f>+SUMIF('BAL N'!K:K,"=4191",'BAL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0</v>
      </c>
      <c r="C23" s="615">
        <f>SUM(C20:C22)</f>
        <v>0</v>
      </c>
      <c r="D23" s="691">
        <f t="shared" si="0"/>
        <v>0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customWidth="true" style="150" width="37.2857142857143"/>
    <col min="2" max="2" bestFit="true" customWidth="true" style="150" width="16.7142857142857"/>
    <col min="3" max="3" bestFit="true" customWidth="true" style="150" width="11.2857142857143"/>
    <col min="4" max="4" customWidth="true" style="150" width="9.42857142857143"/>
    <col min="5" max="7" customWidth="true" style="150" width="13.7142857142857"/>
    <col min="8" max="16384" style="150" width="12.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0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0</v>
      </c>
      <c r="C10" s="267">
        <f>+SUMIF('BAL N'!I:I,"=43",'BAL N'!C:C)</f>
        <v>0</v>
      </c>
      <c r="D10" s="623">
        <f t="shared" si="0" ref="D10:D21">IFERROR((B10-C10)/B10,0)</f>
        <v>0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0</v>
      </c>
      <c r="C11" s="267">
        <f>+SUMIF('BAL N'!I:I,"=44",'BAL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0</v>
      </c>
      <c r="C19" s="612">
        <f>SUM(C9:C18)</f>
        <v>0</v>
      </c>
      <c r="D19" s="692">
        <f t="shared" si="0"/>
        <v>0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0</v>
      </c>
      <c r="C21" s="612">
        <f>+C19-C20</f>
        <v>0</v>
      </c>
      <c r="D21" s="692">
        <f t="shared" si="0"/>
        <v>0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customWidth="true" style="150" width="35.7142857142857"/>
    <col min="2" max="3" customWidth="true" style="150" width="12.4285714285714"/>
    <col min="4" max="4" customWidth="true" style="150" width="11.2857142857143"/>
    <col min="5" max="5" customWidth="true" style="150" width="16.2857142857143"/>
    <col min="6" max="7" customWidth="true" style="150" width="12.4285714285714"/>
    <col min="8" max="16384" style="150" width="12.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9.4285714285714"/>
    <col min="2" max="2" customWidth="true" style="150" width="24.4285714285714"/>
    <col min="3" max="3" customWidth="true" style="150" width="26.4285714285714"/>
    <col min="4" max="4" customWidth="true" style="150" width="21.4285714285714"/>
    <col min="5" max="16384" style="150" width="12.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9.4285714285714"/>
    <col min="2" max="2" customWidth="true" style="150" width="20.0"/>
    <col min="3" max="4" customWidth="true" style="150" width="19.7142857142857"/>
    <col min="5" max="16384" style="150" width="12.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9.4285714285714"/>
    <col min="2" max="2" customWidth="true" style="150" width="21.4285714285714"/>
    <col min="3" max="3" customWidth="true" style="150" width="18.7142857142857"/>
    <col min="4" max="4" customWidth="true" style="150" width="22.4285714285714"/>
    <col min="5" max="16384" style="150" width="12.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0</v>
      </c>
      <c r="C8" s="618">
        <f>+SUMIF('BAL N'!J:J,"=521",'BAL N'!C:C)</f>
        <v>0</v>
      </c>
      <c r="D8" s="621">
        <f>IFERROR((B8-C8)/B8,0)</f>
        <v>0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0</v>
      </c>
      <c r="C17" s="272">
        <f>+SUMIF('BAL N'!J:J,"=571",'BAL N'!C:C)</f>
        <v>0</v>
      </c>
      <c r="D17" s="621">
        <f t="shared" si="0"/>
        <v>0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0</v>
      </c>
      <c r="C20" s="620">
        <f>SUM(C8:C19)</f>
        <v>0</v>
      </c>
      <c r="D20" s="622">
        <f t="shared" si="0"/>
        <v>0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customWidth="true" style="150" width="39.4285714285714"/>
    <col min="2" max="2" bestFit="true" customWidth="true" style="150" width="9.42857142857143"/>
    <col min="3" max="3" bestFit="true" customWidth="true" style="150" width="11.2857142857143"/>
    <col min="4" max="4" customWidth="true" style="150" width="9.42857142857143"/>
    <col min="5" max="7" customWidth="true" style="150" width="13.7142857142857"/>
    <col min="8" max="16384" style="150" width="12.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customWidth="true" style="150" width="39.4285714285714"/>
    <col min="2" max="2" bestFit="true" customWidth="true" style="150" width="9.42857142857143"/>
    <col min="3" max="3" customWidth="true" style="150" width="9.42857142857143"/>
    <col min="4" max="4" customWidth="true" style="150" width="7.28571428571429"/>
    <col min="5" max="5" customWidth="true" style="150" width="15.5714285714286"/>
    <col min="6" max="6" customWidth="true" style="150" width="13.2857142857143"/>
    <col min="7" max="7" customWidth="true" style="150" width="19.2857142857143"/>
    <col min="8" max="16384" style="150" width="12.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customWidth="true" style="150" width="39.4285714285714"/>
    <col min="2" max="2" bestFit="true" customWidth="true" style="150" width="9.42857142857143"/>
    <col min="3" max="3" bestFit="true" customWidth="true" style="150" width="11.2857142857143"/>
    <col min="4" max="4" customWidth="true" style="150" width="9.42857142857143"/>
    <col min="5" max="7" customWidth="true" style="150" width="13.7142857142857"/>
    <col min="8" max="16384" style="150" width="12.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0</v>
      </c>
      <c r="C16" s="1190"/>
      <c r="D16" s="1191">
        <f>+SUMIF('BAL N'!J:J,"=111",'BAL N'!D:D)</f>
        <v>0</v>
      </c>
      <c r="E16" s="1190"/>
      <c r="F16" s="1194">
        <f t="shared" si="1" ref="F16:F23">+B16-D16</f>
        <v>0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0</v>
      </c>
      <c r="C20" s="1190"/>
      <c r="D20" s="1191">
        <f>+SUMIF('BAL N'!J:J,"=118",'BAL N'!D:D)</f>
        <v>0</v>
      </c>
      <c r="E20" s="1190"/>
      <c r="F20" s="1194">
        <f t="shared" si="1"/>
        <v>0</v>
      </c>
      <c r="G20" s="1195"/>
    </row>
    <row r="21" spans="1:7" ht="13.8">
      <c r="A21" s="287" t="s">
        <v>753</v>
      </c>
      <c r="B21" s="1192">
        <f>SUM(B15:C20)</f>
        <v>0</v>
      </c>
      <c r="C21" s="1193"/>
      <c r="D21" s="1192">
        <f>SUM(D15:E20)</f>
        <v>0</v>
      </c>
      <c r="E21" s="1193"/>
      <c r="F21" s="1192">
        <f t="shared" si="1"/>
        <v>0</v>
      </c>
      <c r="G21" s="1193"/>
    </row>
    <row r="22" spans="1:7" ht="13.8">
      <c r="A22" s="291" t="s">
        <v>242</v>
      </c>
      <c r="B22" s="1191">
        <f>+SUMIF('BAL N'!J:J,"=118",'BAL N'!H:H)</f>
        <v>0</v>
      </c>
      <c r="C22" s="1190"/>
      <c r="D22" s="1191">
        <f>+SUMIF('BAL N'!J:J,"=118",'BAL N'!D:D)</f>
        <v>0</v>
      </c>
      <c r="E22" s="1190"/>
      <c r="F22" s="1189">
        <f t="shared" si="1"/>
        <v>0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customWidth="true" style="150" width="35.7142857142857"/>
    <col min="2" max="2" bestFit="true" customWidth="true" style="150" width="6.28571428571429"/>
    <col min="3" max="8" customWidth="true" style="150" width="11.2857142857143"/>
    <col min="9" max="16384" style="150" width="12.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customWidth="true" style="150" width="35.7142857142857"/>
    <col min="2" max="2" bestFit="true" customWidth="true" style="150" width="6.28571428571429"/>
    <col min="3" max="3" customWidth="true" style="150" width="16.4285714285714"/>
    <col min="4" max="7" customWidth="true" style="150" width="11.2857142857143"/>
    <col min="8" max="16384" style="150" width="12.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5.7142857142857"/>
    <col min="2" max="2" customWidth="true" style="150" width="14.2857142857143"/>
    <col min="3" max="3" customWidth="true" style="150" width="13.7142857142857"/>
    <col min="4" max="5" customWidth="true" style="150" width="8.71428571428571"/>
    <col min="6" max="8" customWidth="true" style="150" width="11.2857142857143"/>
    <col min="9" max="16384" style="150" width="12.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customWidth="true" style="150" width="73.7142857142857"/>
    <col min="2" max="7" customWidth="true" style="150" width="13.7142857142857"/>
    <col min="8" max="16384" style="150" width="12.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customWidth="true" style="150" width="39.4285714285714"/>
    <col min="2" max="2" customWidth="true" style="150" width="33.8571428571429"/>
    <col min="3" max="3" customWidth="true" style="150" width="24.7142857142857"/>
    <col min="4" max="4" customWidth="true" style="150" width="24.0"/>
    <col min="5" max="5" customWidth="true" style="150" width="19.7142857142857"/>
    <col min="6" max="6" customWidth="true" style="150" width="13.7142857142857"/>
    <col min="7" max="16384" style="150" width="12.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customWidth="true" style="150" width="39.4285714285714"/>
    <col min="2" max="2" customWidth="true" style="150" width="24.2857142857143"/>
    <col min="3" max="3" customWidth="true" style="150" width="20.7142857142857"/>
    <col min="4" max="4" customWidth="true" style="150" width="27.7142857142857"/>
    <col min="5" max="5" customWidth="true" style="150" width="13.7142857142857"/>
    <col min="6" max="16384" style="150" width="12.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51.0"/>
    <col min="2" max="3" customWidth="true" style="150" width="15.2857142857143"/>
    <col min="4" max="4" customWidth="true" style="150" width="15.4285714285714"/>
    <col min="5" max="7" customWidth="true" style="150" width="12.4285714285714"/>
    <col min="8" max="16384" style="150" width="12.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0</v>
      </c>
      <c r="C8" s="625">
        <f>+SUMIF('BAL N'!J:J,"=401",'BAL N'!D:D)-SUMIF('BAL N'!K:K,"=4012",'BAL N'!D:D)-SUMIF('BAL N'!J:J,"=401",'BAL N'!C:C)</f>
        <v>0</v>
      </c>
      <c r="D8" s="623">
        <f>IFERROR((B8-C8)/B8,0)</f>
        <v>0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0</v>
      </c>
      <c r="C13" s="612">
        <f>SUM(C8:C12)</f>
        <v>0</v>
      </c>
      <c r="D13" s="692">
        <f t="shared" si="0"/>
        <v>0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6.4285714285714"/>
    <col min="2" max="2" customWidth="true" style="150" width="13.7142857142857"/>
    <col min="3" max="4" customWidth="true" style="150" width="14.7142857142857"/>
    <col min="5" max="5" customWidth="true" style="150" width="16.2857142857143"/>
    <col min="6" max="6" customWidth="true" style="150" width="15.7142857142857"/>
    <col min="7" max="8" customWidth="true" style="150" width="12.4285714285714"/>
    <col min="9" max="16384" style="150" width="12.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0</v>
      </c>
      <c r="C9" s="625">
        <f>+SUMIF('BAL N'!J:J,"=422",'BAL N'!D:D)</f>
        <v>0</v>
      </c>
      <c r="D9" s="300"/>
      <c r="E9" s="708">
        <f t="shared" si="0" ref="E9:E23">IFERROR((B9-C9)/B9,0)</f>
        <v>0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0</v>
      </c>
      <c r="C12" s="625">
        <f>+SUMIF('BAL N'!K:K,"=4313",'BAL N'!D:D)+SUMIF('BAL N'!K:K,"=4314",'BAL N'!D:D)</f>
        <v>0</v>
      </c>
      <c r="D12" s="300"/>
      <c r="E12" s="708">
        <f t="shared" si="0"/>
        <v>0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0</v>
      </c>
      <c r="C14" s="612">
        <f>SUM(C8:C13)</f>
        <v>0</v>
      </c>
      <c r="D14" s="301"/>
      <c r="E14" s="709">
        <f t="shared" si="0"/>
        <v>0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0</v>
      </c>
      <c r="C16" s="625">
        <f>+SUMIF('BAL N'!J:J,"=441",'BAL N'!D:D)</f>
        <v>0</v>
      </c>
      <c r="D16" s="300"/>
      <c r="E16" s="708">
        <f t="shared" si="0"/>
        <v>0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0</v>
      </c>
      <c r="C17" s="625">
        <f>+SUMIF('BAL N'!J:J,"=442",'BAL N'!D:D)</f>
        <v>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0</v>
      </c>
      <c r="C19" s="267">
        <f>+SUMIF('BAL N'!J:J,"=447",'BAL N'!D:D)</f>
        <v>0</v>
      </c>
      <c r="D19" s="267"/>
      <c r="E19" s="708">
        <f t="shared" si="0"/>
        <v>0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0</v>
      </c>
      <c r="C20" s="267">
        <f>+SUMIF('BAL N'!J:J,"=446",'BAL N'!D:D)+SUMIF('BAL N'!J:J,"=448",'BAL N'!D:D)+SUMIF('BAL N'!J:J,"=449",'BAL N'!D:D)</f>
        <v>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0</v>
      </c>
      <c r="C21" s="612">
        <f>SUM(C16:C20)</f>
        <v>0</v>
      </c>
      <c r="D21" s="301"/>
      <c r="E21" s="709">
        <f t="shared" si="0"/>
        <v>0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0</v>
      </c>
      <c r="C23" s="699">
        <f>+C21+C14</f>
        <v>0</v>
      </c>
      <c r="D23" s="710"/>
      <c r="E23" s="711">
        <f t="shared" si="0"/>
        <v>0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6.4285714285714"/>
    <col min="2" max="3" customWidth="true" style="150" width="18.7142857142857"/>
    <col min="4" max="4" customWidth="true" style="150" width="15.5714285714286"/>
    <col min="5" max="5" customWidth="true" style="150" width="9.42857142857143"/>
    <col min="6" max="8" customWidth="true" style="150" width="12.4285714285714"/>
    <col min="9" max="16384" style="150" width="12.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0</v>
      </c>
      <c r="C10" s="625">
        <f>+SUMIF('BAL N'!J:J,"=462",'BAL N'!D:D)</f>
        <v>0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0</v>
      </c>
      <c r="C11" s="267">
        <f>+SUMIF('BAL N'!J:J,"=465",'BAL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0</v>
      </c>
      <c r="C14" s="612">
        <f>SUM(C8:C13)</f>
        <v>0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9.4285714285714"/>
    <col min="2" max="2" customWidth="true" style="150" width="26.7142857142857"/>
    <col min="3" max="3" customWidth="true" style="150" width="23.2857142857143"/>
    <col min="4" max="4" customWidth="true" style="150" width="28.7142857142857"/>
    <col min="5" max="16384" style="150" width="12.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customWidth="true" style="150" width="39.4285714285714"/>
    <col min="2" max="2" customWidth="true" style="150" width="23.0"/>
    <col min="3" max="3" customWidth="true" style="150" width="22.4285714285714"/>
    <col min="4" max="4" customWidth="true" style="150" width="19.7142857142857"/>
    <col min="5" max="16384" style="150" width="12.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0</v>
      </c>
      <c r="C15" s="617">
        <f>+SUMIF('BAL N-1'!K:K,"=7023",'BAL N-1'!H:H)</f>
        <v>0</v>
      </c>
      <c r="D15" s="621">
        <f t="shared" si="0"/>
        <v>0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0</v>
      </c>
      <c r="C18" s="620">
        <f>SUM(C14:C17)</f>
        <v>0</v>
      </c>
      <c r="D18" s="622">
        <f>IFERROR((B18-C18)/B18,0)</f>
        <v>0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0</v>
      </c>
      <c r="C36" s="620">
        <f>+C34+C29+C24+C18+C12</f>
        <v>0</v>
      </c>
      <c r="D36" s="622">
        <f t="shared" si="0"/>
        <v>0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customWidth="true" style="150" width="39.4285714285714"/>
    <col min="2" max="2" customWidth="true" style="150" width="26.7142857142857"/>
    <col min="3" max="3" customWidth="true" style="150" width="22.0"/>
    <col min="4" max="4" customWidth="true" style="150" width="20.7142857142857"/>
    <col min="5" max="16384" style="150" width="12.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0</v>
      </c>
      <c r="C13" s="619">
        <f>+SUMIF('BAL N-1'!K:K,"=6021",'BAL N-1'!G:G)</f>
        <v>0</v>
      </c>
      <c r="D13" s="621">
        <f t="shared" si="0"/>
        <v>0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0</v>
      </c>
      <c r="C16" s="620">
        <f>SUM(C13:C15)</f>
        <v>0</v>
      </c>
      <c r="D16" s="622">
        <f t="shared" si="0"/>
        <v>0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0</v>
      </c>
      <c r="C19" s="619">
        <f>SUMIF('BAL N-1'!J:J,"=604",'BAL N-1'!G:G)-SUMIF('BAL N-1'!K:K,"=6041",'BAL N-1'!G:G)-SUMIF('BAL N-1'!K:K,"=6042",'BAL N-1'!G:G)</f>
        <v>0</v>
      </c>
      <c r="D19" s="621">
        <f t="shared" si="0"/>
        <v>0</v>
      </c>
    </row>
    <row r="20" spans="1:4" ht="20.1" customHeight="1">
      <c r="A20" s="283" t="s">
        <v>931</v>
      </c>
      <c r="B20" s="618">
        <f>+SUMIF('BAL N'!K:K,"=6043",'BAL N'!G:G)</f>
        <v>0</v>
      </c>
      <c r="C20" s="619">
        <f>SUMIF('BAL N-1'!K:K,"=6043",'BAL N-1'!G:G)</f>
        <v>0</v>
      </c>
      <c r="D20" s="621">
        <f t="shared" si="0"/>
        <v>0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0</v>
      </c>
      <c r="C22" s="619">
        <f>SUMIF('BAL N-1'!K:K,"=6051",'BAL N-1'!G:G)</f>
        <v>0</v>
      </c>
      <c r="D22" s="621">
        <f t="shared" si="0"/>
        <v>0</v>
      </c>
    </row>
    <row r="23" spans="1:4" ht="20.1" customHeight="1">
      <c r="A23" s="283" t="s">
        <v>934</v>
      </c>
      <c r="B23" s="618">
        <f>+SUMIF('BAL N'!K:K,"=6052",'BAL N'!G:G)</f>
        <v>0</v>
      </c>
      <c r="C23" s="619">
        <f>SUMIF('BAL N-1'!K:K,"=6052",'BAL N-1'!G:G)</f>
        <v>0</v>
      </c>
      <c r="D23" s="621">
        <f t="shared" si="0"/>
        <v>0</v>
      </c>
    </row>
    <row r="24" spans="1:4" ht="20.1" customHeight="1">
      <c r="A24" s="283" t="s">
        <v>935</v>
      </c>
      <c r="B24" s="618">
        <f>+SUMIF('BAL N'!K:K,"=6053",'BAL N'!G:G)</f>
        <v>0</v>
      </c>
      <c r="C24" s="619">
        <f>SUMIF('BAL N-1'!K:K,"=6053",'BAL N-1'!G:G)</f>
        <v>0</v>
      </c>
      <c r="D24" s="621">
        <f t="shared" si="0"/>
        <v>0</v>
      </c>
    </row>
    <row r="25" spans="1:4" ht="20.1" customHeight="1">
      <c r="A25" s="283" t="s">
        <v>936</v>
      </c>
      <c r="B25" s="618">
        <f>+SUMIF('BAL N'!K:K,"=6054",'BAL N'!G:G)</f>
        <v>0</v>
      </c>
      <c r="C25" s="619">
        <f>SUMIF('BAL N-1'!K:K,"=6054",'BAL N-1'!G:G)</f>
        <v>0</v>
      </c>
      <c r="D25" s="621">
        <f t="shared" si="0"/>
        <v>0</v>
      </c>
    </row>
    <row r="26" spans="1:4" ht="20.1" customHeight="1">
      <c r="A26" s="283" t="s">
        <v>937</v>
      </c>
      <c r="B26" s="618">
        <f>+SUMIF('BAL N'!K:K,"=6055",'BAL N'!G:G)</f>
        <v>0</v>
      </c>
      <c r="C26" s="619">
        <f>SUMIF('BAL N-1'!K:K,"=6055",'BAL N-1'!G:G)</f>
        <v>0</v>
      </c>
      <c r="D26" s="621">
        <f t="shared" si="0"/>
        <v>0</v>
      </c>
    </row>
    <row r="27" spans="1:4" ht="20.1" customHeight="1">
      <c r="A27" s="283" t="s">
        <v>938</v>
      </c>
      <c r="B27" s="618">
        <f>+SUMIF('BAL N'!K:K,"=6056",'BAL N'!G:G)+SUMIF('BAL N'!K:K,"=6058",'BAL N'!G:G)</f>
        <v>0</v>
      </c>
      <c r="C27" s="619">
        <f>SUMIF('BAL N-1'!K:K,"=6056",'BAL N-1'!G:G)+SUMIF('BAL N-1'!K:K,"=6058",'BAL N-1'!G:G)</f>
        <v>0</v>
      </c>
      <c r="D27" s="621">
        <f t="shared" si="0"/>
        <v>0</v>
      </c>
    </row>
    <row r="28" spans="1:4" ht="27.6">
      <c r="A28" s="283" t="s">
        <v>1504</v>
      </c>
      <c r="B28" s="618">
        <f>+SUMIF('BAL N'!K:K,"=6057",'BAL N'!G:G)</f>
        <v>0</v>
      </c>
      <c r="C28" s="619">
        <f>SUMIF('BAL N-1'!K:K,"=6057",'BAL N-1'!G:G)</f>
        <v>0</v>
      </c>
      <c r="D28" s="621">
        <f t="shared" si="0"/>
        <v>0</v>
      </c>
    </row>
    <row r="29" spans="1:4" ht="20.1" customHeight="1">
      <c r="A29" s="283" t="s">
        <v>939</v>
      </c>
      <c r="B29" s="618">
        <f>+SUMIF('BAL N'!J:J,"=608",'BAL N'!G:G)</f>
        <v>0</v>
      </c>
      <c r="C29" s="619">
        <f>SUMIF('BAL N-1'!J:J,"=608",'BAL N-1'!G:G)</f>
        <v>0</v>
      </c>
      <c r="D29" s="621">
        <f t="shared" si="0"/>
        <v>0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0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0</v>
      </c>
      <c r="C32" s="695">
        <f>SUM(C18:C31)</f>
        <v>0</v>
      </c>
      <c r="D32" s="690">
        <f t="shared" si="0"/>
        <v>0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customWidth="true" style="150" width="39.4285714285714"/>
    <col min="2" max="2" customWidth="true" style="150" width="30.1428571428571"/>
    <col min="3" max="3" customWidth="true" style="150" width="28.7142857142857"/>
    <col min="4" max="4" customWidth="true" style="150" width="24.7142857142857"/>
    <col min="5" max="16384" style="150" width="12.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0</v>
      </c>
      <c r="C8" s="617">
        <f>+SUMIF('BAL N-1'!J:J,"=612",'BAL N-1'!C:C)</f>
        <v>0</v>
      </c>
      <c r="D8" s="621">
        <f t="shared" si="0" ref="D8:D13">IFERROR((B8-C8)/B8,0)</f>
        <v>0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0</v>
      </c>
      <c r="C11" s="617">
        <f>+SUMIF('BAL N-1'!J:J,"=616",'BAL N-1'!C:C)</f>
        <v>0</v>
      </c>
      <c r="D11" s="621">
        <f t="shared" si="0"/>
        <v>0</v>
      </c>
    </row>
    <row r="12" spans="1:4" ht="20.1" customHeight="1">
      <c r="A12" s="283" t="s">
        <v>1431</v>
      </c>
      <c r="B12" s="618">
        <f>+SUMIF('BAL N'!J:J,"=618",'BAL N'!G:G)</f>
        <v>0</v>
      </c>
      <c r="C12" s="619">
        <f>+SUMIF('BAL N-1'!J:J,"=618",'BAL N-1'!C:C)</f>
        <v>0</v>
      </c>
      <c r="D12" s="621">
        <f t="shared" si="0"/>
        <v>0</v>
      </c>
    </row>
    <row r="13" spans="1:4" s="719" customFormat="1" ht="25.2" customHeight="1">
      <c r="A13" s="694" t="s">
        <v>106</v>
      </c>
      <c r="B13" s="695">
        <f>SUM(B8:B12)</f>
        <v>0</v>
      </c>
      <c r="C13" s="695">
        <f>SUM(C8:C12)</f>
        <v>0</v>
      </c>
      <c r="D13" s="690">
        <f t="shared" si="0"/>
        <v>0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customWidth="true" style="150" width="39.4285714285714"/>
    <col min="2" max="2" customWidth="true" style="150" width="22.7142857142857"/>
    <col min="3" max="3" customWidth="true" style="150" width="20.2857142857143"/>
    <col min="4" max="4" customWidth="true" style="150" width="22.4285714285714"/>
    <col min="5" max="16384" style="150" width="12.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0</v>
      </c>
      <c r="C9" s="619">
        <f>+SUMIF('BAL N-1'!J:J,"=622",'BAL N-1'!G:G)</f>
        <v>0</v>
      </c>
      <c r="D9" s="621">
        <f t="shared" si="0" ref="D9:D23">IFERROR((B9-C9)/B9,0)</f>
        <v>0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0</v>
      </c>
      <c r="C11" s="619">
        <f>+SUMIF('BAL N-1'!J:J,"=624",'BAL N-1'!G:G)</f>
        <v>0</v>
      </c>
      <c r="D11" s="621">
        <f t="shared" si="0"/>
        <v>0</v>
      </c>
    </row>
    <row r="12" spans="1:4" ht="20.1" customHeight="1">
      <c r="A12" s="283" t="s">
        <v>949</v>
      </c>
      <c r="B12" s="618">
        <f>+SUMIF('BAL N'!J:J,"=625",'BAL N'!G:G)</f>
        <v>0</v>
      </c>
      <c r="C12" s="619">
        <f>+SUMIF('BAL N-1'!J:J,"=625",'BAL N-1'!G:G)</f>
        <v>0</v>
      </c>
      <c r="D12" s="621">
        <f t="shared" si="0"/>
        <v>0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0</v>
      </c>
      <c r="C15" s="619">
        <f>+SUMIF('BAL N-1'!J:J,"=628",'BAL N-1'!G:G)</f>
        <v>0</v>
      </c>
      <c r="D15" s="621">
        <f t="shared" si="0"/>
        <v>0</v>
      </c>
    </row>
    <row r="16" spans="1:4" ht="20.1" customHeight="1">
      <c r="A16" s="283" t="s">
        <v>953</v>
      </c>
      <c r="B16" s="618">
        <f>+SUMIF('BAL N'!J:J,"=631",'BAL N'!G:G)</f>
        <v>0</v>
      </c>
      <c r="C16" s="619">
        <f>+SUMIF('BAL N-1'!J:J,"=631",'BAL N-1'!G:G)</f>
        <v>0</v>
      </c>
      <c r="D16" s="621">
        <f t="shared" si="0"/>
        <v>0</v>
      </c>
    </row>
    <row r="17" spans="1:4" ht="13.8">
      <c r="A17" s="283" t="s">
        <v>954</v>
      </c>
      <c r="B17" s="618">
        <f>+SUMIF('BAL N'!J:J,"=632",'BAL N'!G:G)</f>
        <v>0</v>
      </c>
      <c r="C17" s="619">
        <f>+SUMIF('BAL N-1'!J:J,"=632",'BAL N-1'!G:G)</f>
        <v>0</v>
      </c>
      <c r="D17" s="621">
        <f t="shared" si="0"/>
        <v>0</v>
      </c>
    </row>
    <row r="18" spans="1:4" ht="20.1" customHeight="1">
      <c r="A18" s="283" t="s">
        <v>955</v>
      </c>
      <c r="B18" s="618">
        <f>+SUMIF('BAL N'!J:J,"=633",'BAL N'!G:G)</f>
        <v>0</v>
      </c>
      <c r="C18" s="619">
        <f>+SUMIF('BAL N-1'!J:J,"=633",'BAL N-1'!G:G)</f>
        <v>0</v>
      </c>
      <c r="D18" s="621">
        <f t="shared" si="0"/>
        <v>0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0</v>
      </c>
      <c r="C21" s="619">
        <f>+SUMIF('BAL N-1'!J:J,"=637",'BAL N-1'!G:G)++SUMIF('BAL N-1'!J:J,"=638",'BAL N-1'!G:G)</f>
        <v>0</v>
      </c>
      <c r="D21" s="621">
        <f t="shared" si="0"/>
        <v>0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0</v>
      </c>
      <c r="C23" s="695">
        <f>SUM(C8:C21)</f>
        <v>0</v>
      </c>
      <c r="D23" s="690">
        <f t="shared" si="0"/>
        <v>0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9.4285714285714"/>
    <col min="2" max="2" customWidth="true" style="150" width="25.4285714285714"/>
    <col min="3" max="3" customWidth="true" style="150" width="20.4285714285714"/>
    <col min="4" max="4" customWidth="true" style="150" width="23.2857142857143"/>
    <col min="5" max="16384" style="150" width="12.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0</v>
      </c>
      <c r="C8" s="617">
        <f>+SUMIF('BAL N-1'!J:J,"=641",'BAL N-1'!G:G)</f>
        <v>0</v>
      </c>
      <c r="D8" s="621">
        <f>IFERROR((B8-C8)/B8,0)</f>
        <v>0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0</v>
      </c>
      <c r="C10" s="617">
        <f>+SUMIF('BAL N-1'!J:J,"=646",'BAL N-1'!G:G)</f>
        <v>0</v>
      </c>
      <c r="D10" s="621">
        <f t="shared" si="0"/>
        <v>0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0</v>
      </c>
      <c r="C14" s="695">
        <f>SUM(C8:C12)</f>
        <v>0</v>
      </c>
      <c r="D14" s="690">
        <f t="shared" si="0"/>
        <v>0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9.4285714285714"/>
    <col min="2" max="2" customWidth="true" style="150" width="24.2857142857143"/>
    <col min="3" max="3" customWidth="true" style="150" width="24.8571428571429"/>
    <col min="4" max="4" customWidth="true" style="150" width="18.7142857142857"/>
    <col min="5" max="16384" style="150" width="12.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0</v>
      </c>
      <c r="C13" s="617">
        <f>+SUMIF('BAL N-1'!K:K,"=6582",'BAL N-1'!G:G)+SUMIF('BAL N-1'!K:K,"=6583",'BAL N-1'!G:G)</f>
        <v>0</v>
      </c>
      <c r="D13" s="621">
        <f t="shared" si="0"/>
        <v>0</v>
      </c>
    </row>
    <row r="14" spans="1:4" ht="20.1" customHeight="1">
      <c r="A14" s="283" t="s">
        <v>973</v>
      </c>
      <c r="B14" s="744">
        <f>+SUMIF('BAL N'!K:K,"=6588",'BAL N'!G:G)</f>
        <v>0</v>
      </c>
      <c r="C14" s="617">
        <f>+SUMIF('BAL N-1'!K:K,"=6588",'BAL N-1'!G:G)</f>
        <v>0</v>
      </c>
      <c r="D14" s="621">
        <f t="shared" si="0"/>
        <v>0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0</v>
      </c>
      <c r="C17" s="689">
        <f>SUM(C8:C15)</f>
        <v>0</v>
      </c>
      <c r="D17" s="690">
        <f t="shared" si="0"/>
        <v>0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9.4285714285714"/>
    <col min="2" max="2" customWidth="true" style="150" width="28.4285714285714"/>
    <col min="3" max="3" customWidth="true" style="150" width="19.2857142857143"/>
    <col min="4" max="4" customWidth="true" style="150" width="21.2857142857143"/>
    <col min="5" max="16384" style="150" width="12.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0</v>
      </c>
      <c r="C8" s="619">
        <f>+SUMIF('BAL N-1'!J:J,"=661",'BAL N-1'!G:G)</f>
        <v>0</v>
      </c>
      <c r="D8" s="621">
        <f>IFERROR((B8-C8)/B8,0)</f>
        <v>0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0</v>
      </c>
      <c r="C10" s="619">
        <f>+SUMIF('BAL N-1'!J:J,"=664",'BAL N-1'!G:G)</f>
        <v>0</v>
      </c>
      <c r="D10" s="621">
        <f t="shared" si="0"/>
        <v>0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0</v>
      </c>
      <c r="C13" s="617">
        <f>+SUMIF('BAL N-1'!J:J,"=668",'BAL N-1'!G:G)</f>
        <v>0</v>
      </c>
      <c r="D13" s="621">
        <f t="shared" si="0"/>
        <v>0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0</v>
      </c>
      <c r="C15" s="689">
        <f>SUM(C8:C13)</f>
        <v>0</v>
      </c>
      <c r="D15" s="690">
        <f t="shared" si="0"/>
        <v>0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bestFit="true" customWidth="true" style="150" width="5.42857142857143"/>
    <col min="2" max="2" customWidth="true" style="150" width="41.2857142857143"/>
    <col min="3" max="9" customWidth="true" style="150" width="7.71428571428571"/>
    <col min="10" max="10" customWidth="true" style="150" width="16.7142857142857"/>
    <col min="11" max="15" customWidth="true" style="150" width="7.71428571428571"/>
    <col min="16" max="16" customWidth="true" style="150" width="22.4285714285714"/>
    <col min="17" max="16384" style="150" width="12.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customWidth="true" style="221" width="45.2857142857143"/>
    <col min="2" max="9" customWidth="true" style="221" width="16.0"/>
    <col min="10" max="16384" style="221" width="12.0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customWidth="true" style="150" width="45.7142857142857"/>
    <col min="2" max="2" customWidth="true" style="150" width="34.7142857142857"/>
    <col min="3" max="3" customWidth="true" style="150" width="40.8571428571429"/>
    <col min="4" max="4" customWidth="true" style="150" width="31.7142857142857"/>
    <col min="5" max="16384" style="150" width="12.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customWidth="true" style="150" width="45.7142857142857"/>
    <col min="2" max="2" customWidth="true" style="150" width="28.8571428571429"/>
    <col min="3" max="3" customWidth="true" style="150" width="24.7142857142857"/>
    <col min="4" max="4" customWidth="true" style="150" width="28.4285714285714"/>
    <col min="5" max="16384" style="150" width="12.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workbookViewId="0" topLeftCell="A1">
      <selection pane="topLeft" activeCell="H8" sqref="H8"/>
    </sheetView>
  </sheetViews>
  <sheetFormatPr defaultColWidth="12.0042857142857" defaultRowHeight="13.8"/>
  <cols>
    <col min="1" max="1" customWidth="true" style="222" width="73.1428571428571"/>
    <col min="2" max="6" customWidth="true" style="222" width="14.7142857142857"/>
    <col min="7" max="16384" style="222" width="12.0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0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0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0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0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0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customWidth="true" style="222" width="32.4285714285714"/>
    <col min="2" max="2" customWidth="true" style="222" width="11.2857142857143"/>
    <col min="3" max="3" customWidth="true" style="222" width="10.2857142857143"/>
    <col min="4" max="4" customWidth="true" style="222" width="16.7142857142857"/>
    <col min="5" max="14" customWidth="true" style="222" width="10.2857142857143"/>
    <col min="15" max="16384" style="222" width="12.0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customWidth="true" style="222" width="32.4285714285714"/>
    <col min="2" max="2" customWidth="true" style="222" width="13.7142857142857"/>
    <col min="3" max="8" customWidth="true" style="222" width="10.2857142857143"/>
    <col min="9" max="9" customWidth="true" style="222" width="13.7142857142857"/>
    <col min="10" max="16384" style="222" width="12.0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customWidth="true" style="150" width="76.7142857142857"/>
    <col min="2" max="2" customWidth="true" style="303" width="28.4285714285714"/>
    <col min="3" max="3" customWidth="true" style="303" width="29.1428571428571"/>
    <col min="4" max="4" customWidth="true" style="150" width="14.7142857142857"/>
    <col min="5" max="16384" style="150" width="12.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0</v>
      </c>
      <c r="C9" s="770">
        <f>'COMPTE DE RESULTAT'!F14</f>
        <v>0</v>
      </c>
      <c r="D9" s="753">
        <f>IFERROR((B9-C9)/B9,0)</f>
        <v>0</v>
      </c>
    </row>
    <row r="10" spans="1:4" ht="13.8">
      <c r="A10" s="439" t="s">
        <v>1127</v>
      </c>
      <c r="B10" s="769">
        <f>'COMPTE DE RESULTAT'!E10</f>
        <v>0</v>
      </c>
      <c r="C10" s="769">
        <f>'COMPTE DE RESULTAT'!F10</f>
        <v>0</v>
      </c>
      <c r="D10" s="753">
        <f t="shared" si="0" ref="D10:D17">IFERROR((B10-C10)/B10,0)</f>
        <v>0</v>
      </c>
    </row>
    <row r="11" spans="1:4" ht="13.8">
      <c r="A11" s="439" t="s">
        <v>1128</v>
      </c>
      <c r="B11" s="769">
        <f>'COMPTE DE RESULTAT'!E28</f>
        <v>0</v>
      </c>
      <c r="C11" s="769">
        <f>'COMPTE DE RESULTAT'!F28</f>
        <v>0</v>
      </c>
      <c r="D11" s="753">
        <f t="shared" si="0"/>
        <v>0</v>
      </c>
    </row>
    <row r="12" spans="1:4" ht="13.8">
      <c r="A12" s="439" t="s">
        <v>1129</v>
      </c>
      <c r="B12" s="769">
        <f>'COMPTE DE RESULTAT'!E30</f>
        <v>0</v>
      </c>
      <c r="C12" s="769">
        <f>'COMPTE DE RESULTAT'!F30</f>
        <v>0</v>
      </c>
      <c r="D12" s="753">
        <f t="shared" si="0"/>
        <v>0</v>
      </c>
    </row>
    <row r="13" spans="1:4" ht="13.8">
      <c r="A13" s="439" t="s">
        <v>1130</v>
      </c>
      <c r="B13" s="769">
        <f>'COMPTE DE RESULTAT'!E33</f>
        <v>0</v>
      </c>
      <c r="C13" s="769">
        <f>'COMPTE DE RESULTAT'!F33</f>
        <v>0</v>
      </c>
      <c r="D13" s="753">
        <f t="shared" si="0"/>
        <v>0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0</v>
      </c>
      <c r="C15" s="769">
        <f>'COMPTE DE RESULTAT'!F40</f>
        <v>0</v>
      </c>
      <c r="D15" s="753">
        <f t="shared" si="0"/>
        <v>0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0</v>
      </c>
      <c r="C17" s="769">
        <f>'COMPTE DE RESULTAT'!F48</f>
        <v>0</v>
      </c>
      <c r="D17" s="753">
        <f t="shared" si="0"/>
        <v>0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0</v>
      </c>
      <c r="C19" s="769">
        <f>C12</f>
        <v>0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0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0</v>
      </c>
      <c r="C22" s="771">
        <f>C19+C20+C21</f>
        <v>0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0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0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0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0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0</v>
      </c>
      <c r="C31" s="769">
        <f t="shared" si="1"/>
        <v>0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0</v>
      </c>
      <c r="C33" s="771">
        <f>+C22+C23+C24+C25+C26+C27-C28-C29-C30-C31</f>
        <v>0</v>
      </c>
      <c r="D33" s="467"/>
    </row>
    <row r="34" spans="1:4" ht="13.8">
      <c r="A34" s="468" t="s">
        <v>1150</v>
      </c>
      <c r="B34" s="769">
        <f>+SUMIF('BAL N'!J:J,"=465",'BAL N'!H:H)</f>
        <v>0</v>
      </c>
      <c r="C34" s="770">
        <f>+SUMIF('BAL N'!J:J,"=465",'BAL N'!H:H)</f>
        <v>0</v>
      </c>
      <c r="D34" s="469"/>
    </row>
    <row r="35" spans="1:4" ht="20.1" customHeight="1">
      <c r="A35" s="466" t="s">
        <v>1151</v>
      </c>
      <c r="B35" s="771">
        <f>+B33-B34</f>
        <v>0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</v>
      </c>
      <c r="C37" s="469"/>
      <c r="D37" s="469"/>
    </row>
    <row r="38" spans="1:4" ht="32.1" customHeight="1">
      <c r="A38" s="439"/>
      <c r="B38" s="772">
        <f>IFERROR(B17/'BILAN PAYSAGE'!K18,0)</f>
        <v>0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0</v>
      </c>
      <c r="C40" s="769">
        <f>'BILAN PAYSAGE'!L18</f>
        <v>0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0</v>
      </c>
      <c r="C42" s="769">
        <f>C40+C41</f>
        <v>0</v>
      </c>
      <c r="D42" s="773"/>
    </row>
    <row r="43" spans="1:4" ht="13.8">
      <c r="A43" s="468" t="s">
        <v>1157</v>
      </c>
      <c r="B43" s="769">
        <f>'BILAN PAYSAGE'!F23</f>
        <v>0</v>
      </c>
      <c r="C43" s="769">
        <f>'BILAN PAYSAGE'!G23</f>
        <v>0</v>
      </c>
      <c r="D43" s="773"/>
    </row>
    <row r="44" spans="1:4" ht="20.1" customHeight="1">
      <c r="A44" s="466" t="s">
        <v>1158</v>
      </c>
      <c r="B44" s="771">
        <f>+B42-B43</f>
        <v>0</v>
      </c>
      <c r="C44" s="771">
        <f>+C42-C43</f>
        <v>0</v>
      </c>
      <c r="D44" s="471"/>
    </row>
    <row r="45" spans="1:4" ht="13.8">
      <c r="A45" s="470" t="s">
        <v>1159</v>
      </c>
      <c r="B45" s="769">
        <f>+'BILAN PAYSAGE'!F30-'BILAN PAYSAGE'!F24</f>
        <v>0</v>
      </c>
      <c r="C45" s="769">
        <f>+'BILAN PAYSAGE'!G30-'BILAN PAYSAGE'!G24</f>
        <v>0</v>
      </c>
      <c r="D45" s="469"/>
    </row>
    <row r="46" spans="1:4" ht="13.8">
      <c r="A46" s="465" t="s">
        <v>1160</v>
      </c>
      <c r="B46" s="769">
        <f>+'BILAN PAYSAGE'!K30-'BILAN PAYSAGE'!K24</f>
        <v>0</v>
      </c>
      <c r="C46" s="769">
        <f>+'BILAN PAYSAGE'!L30-'BILAN PAYSAGE'!L24</f>
        <v>0</v>
      </c>
      <c r="D46" s="469"/>
    </row>
    <row r="47" spans="1:4" ht="13.8">
      <c r="A47" s="468" t="s">
        <v>1161</v>
      </c>
      <c r="B47" s="769">
        <f>+B45-B46</f>
        <v>0</v>
      </c>
      <c r="C47" s="769">
        <f>+C45-C46</f>
        <v>0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0</v>
      </c>
      <c r="C51" s="771">
        <f>+C47+C50</f>
        <v>0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0</v>
      </c>
      <c r="C53" s="830">
        <f>+C44-C51</f>
        <v>0</v>
      </c>
      <c r="D53" s="831"/>
    </row>
    <row r="54" spans="1:4" ht="13.8">
      <c r="A54" s="832" t="s">
        <v>1167</v>
      </c>
      <c r="B54" s="833">
        <f>+'BILAN PAYSAGE'!F34-'BILAN PAYSAGE'!K34</f>
        <v>0</v>
      </c>
      <c r="C54" s="833">
        <f>+'BILAN PAYSAGE'!G34-'BILAN PAYSAGE'!L34</f>
        <v>0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0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0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0</v>
      </c>
      <c r="C61" s="833"/>
      <c r="D61" s="836"/>
    </row>
    <row r="62" spans="1:4" ht="13.8">
      <c r="A62" s="839" t="s">
        <v>1521</v>
      </c>
      <c r="B62" s="840">
        <f>'BILAN PAYSAGE'!F30</f>
        <v>0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0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customWidth="true" style="226" width="102.285714285714"/>
    <col min="2" max="2" customWidth="true" style="226" width="16.8571428571429"/>
    <col min="3" max="16384" style="226" width="10.7142857142857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customWidth="true" style="222" width="35.4285714285714"/>
    <col min="2" max="4" customWidth="true" style="222" width="2.71428571428571"/>
    <col min="5" max="5" bestFit="true" customWidth="true" style="222" width="31.0"/>
    <col min="6" max="8" customWidth="true" style="222" width="2.71428571428571"/>
    <col min="9" max="16384" style="222" width="12.0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bestFit="true" customWidth="true" style="245" width="59.2857142857143"/>
    <col min="2" max="2" customWidth="true" style="245" width="8.71428571428571"/>
    <col min="3" max="3" bestFit="true" customWidth="true" style="245" width="70.2857142857143"/>
    <col min="4" max="16384" style="245" width="10.7142857142857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361cf3-33de-4973-99bb-376863d36ca9}">
  <dimension ref="A5"/>
  <sheetViews>
    <sheetView workbookViewId="0" topLeftCell="A1"/>
  </sheetViews>
  <sheetFormatPr defaultRowHeight="12.75"/>
  <sheetData>
    <row r="5" spans="1:1" ht="23.25" customHeight="1">
      <c r="A5" s="1320" t="s">
        <v>1537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157338-c2bc-47ec-9194-aee0558ad155}">
  <dimension ref="A5"/>
  <sheetViews>
    <sheetView workbookViewId="0" topLeftCell="A1"/>
  </sheetViews>
  <sheetFormatPr defaultRowHeight="12.75"/>
  <sheetData>
    <row r="5" spans="1:1" ht="23.25" customHeight="1">
      <c r="A5" s="1321" t="s">
        <v>1537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ed4052-e7de-489e-8497-d3d09875221c}">
  <dimension ref="A5"/>
  <sheetViews>
    <sheetView workbookViewId="0" topLeftCell="A1"/>
  </sheetViews>
  <sheetFormatPr defaultRowHeight="12.75"/>
  <sheetData>
    <row r="5" spans="1:1" ht="23.25" customHeight="1">
      <c r="A5" s="1322" t="s">
        <v>1537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7bf4c4-4fef-42e9-97d1-8a0bd9921bdc}">
  <dimension ref="A5"/>
  <sheetViews>
    <sheetView workbookViewId="0" topLeftCell="A1"/>
  </sheetViews>
  <sheetFormatPr defaultRowHeight="12.75"/>
  <sheetData>
    <row r="5" spans="1:1" ht="23.25" customHeight="1">
      <c r="A5" s="1323" t="s">
        <v>1537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8e9479-68c2-4648-8c5c-dbe81d365ed2}">
  <dimension ref="A5"/>
  <sheetViews>
    <sheetView workbookViewId="0" topLeftCell="A1"/>
  </sheetViews>
  <sheetFormatPr defaultRowHeight="12.75"/>
  <sheetData>
    <row r="5" spans="1:1" ht="23.25" customHeight="1">
      <c r="A5" s="1324" t="s">
        <v>1537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7528bb-3f3f-455d-b71d-72de02f0e6ac}">
  <dimension ref="A5"/>
  <sheetViews>
    <sheetView workbookViewId="0" topLeftCell="A1"/>
  </sheetViews>
  <sheetFormatPr defaultRowHeight="12.75"/>
  <sheetData>
    <row r="5" spans="1:1" ht="23.25" customHeight="1">
      <c r="A5" s="1325" t="s">
        <v>1537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c4466f-6a53-407b-8538-c078556eb947}">
  <dimension ref="A5"/>
  <sheetViews>
    <sheetView workbookViewId="0" topLeftCell="A1"/>
  </sheetViews>
  <sheetFormatPr defaultRowHeight="12.75"/>
  <sheetData>
    <row r="5" spans="1:1" ht="23.25" customHeight="1">
      <c r="A5" s="1326" t="s">
        <v>1537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91b73e-584a-4b7a-ad37-d9ded11e7509}">
  <dimension ref="A5"/>
  <sheetViews>
    <sheetView workbookViewId="0" topLeftCell="A1"/>
  </sheetViews>
  <sheetFormatPr defaultRowHeight="12.75"/>
  <sheetData>
    <row r="5" spans="1:1" ht="23.25" customHeight="1">
      <c r="A5" s="1327" t="s">
        <v>1537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3d57d0-03e7-4909-a8c8-7de1cb37feba}">
  <dimension ref="A5"/>
  <sheetViews>
    <sheetView workbookViewId="0" topLeftCell="A1"/>
  </sheetViews>
  <sheetFormatPr defaultRowHeight="12.75"/>
  <sheetData>
    <row r="5" spans="1:1" ht="23.25" customHeight="1">
      <c r="A5" s="1328" t="s">
        <v>1537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464d02-1dc0-40b4-aec4-50c4780160bb}">
  <dimension ref="A5"/>
  <sheetViews>
    <sheetView tabSelected="1" workbookViewId="0" topLeftCell="A1"/>
  </sheetViews>
  <sheetFormatPr defaultRowHeight="12.75"/>
  <sheetData>
    <row r="5" spans="1:1" ht="23.25" customHeight="1">
      <c r="A5" s="1329" t="s">
        <v>1537</v>
      </c>
    </row>
  </sheetData>
  <pageMargins left="0.75" right="0.75" top="1" bottom="1" header="0.5" footer="0.5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  <vt:lpstr>Evaluation Warning (2)</vt:lpstr>
      <vt:lpstr>Evaluation Warning (3)</vt:lpstr>
      <vt:lpstr>Evaluation Warning (4)</vt:lpstr>
      <vt:lpstr>Evaluation Warning (5)</vt:lpstr>
      <vt:lpstr>Evaluation Warning (6)</vt:lpstr>
      <vt:lpstr>Evaluation Warning (7)</vt:lpstr>
      <vt:lpstr>Evaluation Warning (8)</vt:lpstr>
      <vt:lpstr>Evaluation Warning (9)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2021-03-03T14:18:21Z</cp:lastPrinted>
  <dcterms:modified xsi:type="dcterms:W3CDTF">2025-11-05T15:22:52Z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