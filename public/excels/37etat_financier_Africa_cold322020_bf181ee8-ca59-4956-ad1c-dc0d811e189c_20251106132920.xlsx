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<sst xmlns="http://schemas.openxmlformats.org/spreadsheetml/2006/main" count="4726" uniqueCount="1892">
  <si>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</si>
  <si>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</si>
  <si>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</si>
  <si>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</si>
  <si>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</si>
  <si>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</si>
  <si>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</si>
  <si>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</si>
  <si>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</si>
  <si>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</si>
  <si>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</si>
  <si>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</si>
  <si>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</si>
  <si>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</si>
  <si>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</si>
  <si>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</si>
  <si>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</si>
  <si>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</si>
  <si>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</si>
  <si>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</si>
  <si>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</si>
  <si>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</si>
  <si>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</si>
  <si>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</si>
  <si>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</si>
  <si>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</si>
  <si>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</si>
  <si>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</si>
  <si>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</si>
  <si>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</si>
  <si>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</si>
  <si>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</si>
  <si>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</si>
  <si>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</si>
  <si>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</si>
  <si>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</si>
  <si>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</si>
  <si>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</si>
  <si>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</si>
  <si>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</si>
  <si>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</si>
  <si>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</si>
  <si>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</si>
  <si>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</si>
  <si>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</si>
  <si>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</si>
  <si>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</si>
  <si>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</si>
  <si>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</si>
  <si>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</si>
  <si>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</si>
  <si>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</si>
  <si>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</si>
  <si>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</si>
  <si>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</si>
  <si>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</si>
  <si>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</si>
  <si>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</si>
  <si>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</si>
  <si>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</si>
  <si>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</si>
  <si>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</si>
  <si>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</si>
  <si>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</si>
  <si>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</si>
  <si>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</si>
  <si>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</si>
  <si>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</si>
  <si>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</si>
  <si>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</si>
  <si>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</si>
  <si>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</si>
  <si>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</si>
  <si>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</si>
  <si>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</si>
  <si>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</si>
  <si>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</si>
  <si>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</si>
  <si>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</si>
  <si>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</si>
  <si>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</si>
  <si>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</si>
  <si>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</si>
  <si>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</si>
  <si>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</si>
  <si>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</si>
  <si>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</si>
  <si>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</si>
  <si>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</si>
  <si>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</si>
  <si>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</si>
  <si>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</si>
  <si>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</si>
  <si>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</si>
  <si>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</si>
  <si>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</si>
  <si>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</si>
  <si>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</si>
  <si>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</si>
  <si>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</si>
  <si>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</si>
  <si>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</si>
  <si>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</si>
  <si>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</si>
  <si>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</si>
  <si>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</si>
  <si>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</si>
  <si>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</si>
  <si>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</si>
  <si>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</si>
  <si>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</si>
  <si>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</si>
  <si>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</si>
  <si>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</si>
  <si>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</si>
  <si>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</si>
  <si>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</si>
  <si>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</si>
  <si>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</si>
  <si>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</si>
  <si>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</si>
  <si>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</si>
  <si>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</si>
  <si>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</si>
  <si>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</si>
  <si>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</si>
  <si>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</si>
  <si>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</si>
  <si>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</si>
  <si>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</si>
  <si>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</si>
  <si>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</si>
  <si>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</si>
  <si>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</si>
  <si>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</si>
  <si>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</si>
  <si>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</si>
  <si>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</si>
  <si>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</si>
  <si>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</si>
  <si>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</si>
  <si>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</si>
  <si>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</si>
  <si>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</si>
  <si>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</si>
  <si>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</si>
  <si>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</si>
  <si>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</si>
  <si>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</si>
  <si>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</si>
  <si>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</si>
  <si>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</si>
  <si>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</si>
  <si>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</si>
  <si>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</si>
  <si>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</si>
  <si>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</si>
  <si>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</si>
  <si>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</si>
  <si>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</si>
  <si>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</si>
  <si>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</si>
  <si>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</si>
  <si>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</si>
  <si>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</si>
  <si>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</si>
  <si>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</si>
  <si>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</si>
  <si>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</si>
  <si>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</si>
  <si>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</si>
  <si>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</si>
  <si>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</si>
  <si>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</si>
  <si>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</si>
  <si>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</si>
  <si>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</si>
  <si>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</si>
  <si>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</si>
  <si>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</si>
  <si>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</si>
  <si>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</si>
  <si>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</si>
  <si>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</si>
  <si>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</si>
  <si>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</si>
  <si>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</si>
  <si>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</si>
  <si>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</si>
  <si>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</si>
  <si>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</si>
  <si>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</si>
  <si>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</si>
  <si>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</si>
  <si>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</si>
  <si>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</si>
  <si>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</si>
  <si>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</si>
  <si>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</si>
  <si>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</si>
  <si>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</si>
  <si>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</si>
  <si>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</si>
  <si>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</si>
  <si>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</si>
  <si>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</si>
  <si>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</si>
  <si>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</si>
  <si>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</si>
  <si>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</si>
  <si>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</si>
  <si>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</si>
  <si>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</si>
  <si>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</si>
  <si>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</si>
  <si>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</si>
  <si>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</si>
  <si>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</si>
  <si>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</si>
  <si>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</si>
  <si>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</si>
  <si>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</si>
  <si>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</si>
  <si>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</si>
  <si>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</si>
  <si>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</si>
  <si>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</si>
  <si>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</si>
  <si>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</si>
  <si>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</si>
  <si>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</si>
  <si>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</si>
  <si>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</si>
  <si>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</si>
  <si>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</si>
  <si>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</si>
  <si>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</si>
  <si>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</si>
  <si>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</si>
  <si>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</si>
  <si>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</si>
  <si>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</si>
  <si>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</si>
  <si>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</si>
  <si>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</si>
  <si>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</si>
  <si>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</si>
  <si>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</si>
  <si>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</si>
  <si>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</si>
  <si>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</si>
  <si>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</si>
  <si>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</si>
  <si>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</si>
  <si>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</si>
  <si>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</si>
  <si>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</si>
  <si>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</si>
  <si>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</si>
  <si>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</si>
  <si>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</si>
  <si>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</si>
  <si>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</si>
  <si>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</si>
  <si>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</si>
  <si>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</si>
  <si>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</si>
  <si>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</si>
  <si>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</si>
  <si>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</si>
  <si>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</si>
  <si>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</si>
  <si>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</si>
  <si>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</si>
  <si>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</si>
  <si>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</si>
  <si>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</si>
  <si>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</si>
  <si>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</si>
  <si>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</si>
  <si>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</si>
  <si>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</si>
  <si>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</si>
  <si>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</si>
  <si>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</si>
  <si>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</si>
  <si>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</si>
  <si>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</si>
  <si>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</si>
  <si>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</si>
  <si>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</si>
  <si>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</si>
  <si>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</si>
  <si>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</si>
  <si>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</si>
  <si>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</si>
  <si>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</si>
  <si>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</si>
  <si>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</si>
  <si>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</si>
  <si>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</si>
  <si>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</si>
  <si>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</si>
  <si>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</si>
  <si>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</si>
  <si>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</si>
  <si>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</si>
  <si>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</si>
  <si>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</si>
  <si>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</si>
  <si>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</si>
  <si>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</si>
  <si>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</si>
  <si>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</si>
  <si>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</si>
  <si>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</si>
  <si>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</si>
  <si>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</si>
  <si>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</si>
  <si>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</si>
  <si>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</si>
  <si>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</si>
  <si>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</si>
  <si>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</si>
  <si>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</si>
  <si>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</si>
  <si>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</si>
  <si>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</si>
  <si>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</si>
  <si>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</si>
  <si>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</si>
  <si>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</si>
  <si>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</si>
  <si>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</si>
  <si>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</si>
  <si>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</si>
  <si>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</si>
  <si>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</si>
  <si>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</si>
  <si>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</si>
  <si>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</si>
  <si>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</si>
  <si>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</si>
  <si>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</si>
  <si>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</si>
  <si>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</si>
  <si>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</si>
  <si>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</si>
  <si>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</si>
  <si>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</si>
  <si>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</si>
  <si>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</si>
  <si>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</si>
  <si>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</si>
  <si>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</si>
  <si>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</si>
  <si>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</si>
  <si>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</si>
  <si>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</si>
  <si>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</si>
  <si>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</si>
  <si>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</si>
  <si>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</si>
  <si>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</si>
  <si>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</si>
  <si>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</si>
  <si>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</si>
  <si>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</si>
  <si>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</si>
  <si>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</si>
  <si>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</si>
  <si>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</si>
  <si>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</si>
  <si>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</si>
  <si>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</si>
  <si>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</si>
  <si>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</si>
  <si>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</si>
  <si>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</si>
  <si>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</si>
  <si>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</si>
  <si>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</si>
  <si>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</si>
  <si>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</si>
  <si>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</si>
  <si>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</si>
  <si>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</si>
  <si>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</si>
  <si>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</si>
  <si>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</si>
  <si>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</si>
  <si>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</si>
  <si>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</si>
  <si>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</si>
  <si>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</si>
  <si>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</si>
  <si>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</si>
  <si>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</si>
  <si>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</si>
  <si>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</si>
  <si>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</si>
  <si>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</si>
  <si>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</si>
  <si>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</si>
  <si>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</si>
  <si>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</si>
  <si>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</si>
  <si>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</si>
  <si>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</si>
  <si>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</si>
  <si>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</si>
  <si>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</si>
  <si>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</si>
  <si>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</si>
  <si>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</si>
  <si>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</si>
  <si>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</si>
  <si>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</si>
  <si>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</si>
  <si>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</si>
  <si>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</si>
  <si>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</si>
  <si>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</si>
  <si>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</si>
  <si>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</si>
  <si>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</si>
  <si>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</si>
  <si>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</si>
  <si>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</si>
  <si>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</si>
  <si>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</si>
  <si>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</si>
  <si>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</si>
  <si>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</si>
  <si>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</si>
  <si>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</si>
  <si>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</si>
  <si>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</si>
  <si>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</si>
  <si>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</si>
  <si>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</si>
  <si>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</si>
  <si>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</si>
  <si>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</si>
  <si>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</si>
  <si>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</si>
  <si>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</si>
  <si>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</si>
  <si>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</si>
  <si>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</si>
  <si>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</si>
  <si>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</si>
  <si>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</si>
  <si>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</si>
  <si>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</si>
  <si>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</si>
  <si>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</si>
  <si>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</si>
  <si>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</si>
  <si>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</si>
  <si>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</si>
  <si>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</si>
  <si>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</si>
  <si>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</si>
  <si>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</si>
  <si>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</si>
  <si>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</si>
  <si>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</si>
  <si>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</si>
  <si>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</si>
  <si>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</si>
  <si>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</si>
  <si>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</si>
  <si>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</si>
  <si>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</si>
  <si>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</si>
  <si>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</si>
  <si>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</si>
  <si>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</si>
  <si>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</si>
  <si>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</si>
  <si>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</si>
  <si>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</si>
  <si>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</si>
  <si>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</si>
  <si>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</si>
  <si>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</si>
  <si>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</si>
  <si>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</si>
  <si>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</si>
  <si>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</si>
  <si>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</si>
  <si>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</si>
  <si>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</si>
  <si>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</si>
  <si>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</si>
  <si>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</si>
  <si>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</si>
  <si>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</si>
  <si>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</si>
  <si>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</si>
  <si>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</si>
  <si>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</si>
  <si>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</si>
  <si>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</si>
  <si>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</si>
  <si>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</si>
  <si>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</si>
  <si>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</si>
  <si>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</si>
  <si>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</si>
  <si>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</si>
  <si>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</si>
  <si>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</si>
  <si>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</si>
  <si>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</si>
  <si>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</si>
  <si>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</si>
  <si>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</si>
  <si>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</si>
  <si>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</si>
  <si>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</si>
  <si>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</si>
  <si>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</si>
  <si>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</si>
  <si>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</si>
  <si>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</si>
  <si>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</si>
  <si>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</si>
  <si>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</si>
  <si>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</si>
  <si>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</si>
  <si>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</si>
  <si>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</si>
  <si>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</si>
  <si>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</si>
  <si>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</si>
  <si>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</si>
  <si>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</si>
  <si>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</si>
  <si>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</si>
  <si>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</si>
  <si>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</si>
  <si>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</si>
  <si>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</si>
  <si>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</si>
  <si>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</si>
  <si>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</si>
  <si>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</si>
  <si>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</si>
  <si>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</si>
  <si>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</si>
  <si>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</si>
  <si>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</si>
  <si>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</si>
  <si>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</si>
  <si>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</si>
  <si>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</si>
  <si>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</si>
  <si>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</si>
  <si>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</si>
  <si>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</si>
  <si>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</si>
  <si>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</si>
  <si>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</si>
  <si>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</si>
  <si>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</si>
  <si>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</si>
  <si>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</si>
  <si>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</si>
  <si>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</si>
  <si>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</si>
  <si>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</si>
  <si>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</si>
  <si>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</si>
  <si>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</si>
  <si>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</si>
  <si>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</si>
  <si>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</si>
  <si>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</si>
  <si>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</si>
  <si>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</si>
  <si>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</si>
  <si>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</si>
  <si>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</si>
  <si>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</si>
  <si>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</si>
  <si>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</si>
  <si>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</si>
  <si>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</si>
  <si>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</si>
  <si>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</si>
  <si>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</si>
  <si>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</si>
  <si>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</si>
  <si>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</si>
  <si>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</si>
  <si>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</si>
  <si>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</si>
  <si>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</si>
  <si>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</si>
  <si>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</si>
  <si>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</si>
  <si>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</si>
  <si>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</si>
  <si>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</si>
  <si>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</si>
  <si>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</si>
  <si>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</si>
  <si>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</si>
  <si>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</si>
  <si>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</si>
  <si>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</si>
  <si>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</si>
  <si>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</si>
  <si>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</si>
  <si>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</si>
  <si>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</si>
  <si>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</si>
  <si>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</si>
  <si>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</si>
  <si>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</si>
  <si>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</si>
  <si>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</si>
  <si>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</si>
  <si>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</si>
  <si>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</si>
  <si>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</si>
  <si>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</si>
  <si>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</si>
  <si>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</si>
  <si>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</si>
  <si>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</si>
  <si>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</si>
  <si>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</si>
  <si>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</si>
  <si>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</si>
  <si>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</si>
  <si>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</si>
  <si>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</si>
  <si>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</si>
  <si>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</si>
  <si>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</si>
  <si>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</si>
  <si>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</si>
  <si>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</si>
  <si>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</si>
  <si>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</si>
  <si>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</si>
  <si>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</si>
  <si>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</si>
  <si>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</si>
  <si>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</si>
  <si>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</si>
  <si>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</si>
  <si>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</si>
  <si>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</si>
  <si>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</si>
  <si>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</si>
  <si>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</si>
  <si>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</si>
  <si>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</si>
  <si>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</si>
  <si>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</si>
  <si>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</si>
  <si>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</si>
  <si>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</si>
  <si>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</si>
  <si>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</si>
  <si>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</si>
  <si>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</si>
  <si>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</si>
  <si>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</si>
  <si>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</si>
  <si>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</si>
  <si>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</si>
  <si>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</si>
  <si>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</si>
  <si>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</si>
  <si>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</si>
  <si>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</si>
  <si>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</si>
  <si>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</si>
  <si>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</si>
  <si>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</si>
  <si>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</si>
  <si>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</si>
  <si>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</si>
  <si>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</si>
  <si>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</si>
  <si>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</si>
  <si>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</si>
  <si>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</si>
  <si>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</si>
  <si>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</si>
  <si>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</si>
  <si>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</si>
  <si>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</si>
  <si>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</si>
  <si>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</si>
  <si>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</si>
  <si>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</si>
  <si>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</si>
  <si>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</si>
  <si>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</si>
  <si>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</si>
  <si>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</si>
  <si>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</si>
  <si>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</si>
  <si>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</si>
  <si>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</si>
  <si>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</si>
  <si>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</si>
  <si>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</si>
  <si>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</si>
  <si>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</si>
  <si>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</si>
  <si>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</si>
  <si>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</si>
  <si>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</si>
  <si>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</si>
  <si>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</si>
  <si>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</si>
  <si>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</si>
  <si>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</si>
  <si>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</si>
  <si>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</si>
  <si>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</si>
  <si>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</si>
  <si>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</si>
  <si>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</si>
  <si>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</si>
  <si>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</si>
  <si>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</si>
  <si>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</si>
  <si>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</si>
  <si>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</si>
  <si>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</si>
  <si>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</si>
  <si>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</si>
  <si>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</si>
  <si>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</si>
  <si>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</si>
  <si>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</si>
  <si>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</si>
  <si>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</si>
  <si>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</si>
  <si>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</si>
  <si>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</si>
  <si>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</si>
  <si>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</si>
  <si>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</si>
  <si>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</si>
  <si>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</si>
  <si>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</si>
  <si>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</si>
  <si>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</si>
  <si>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</si>
  <si>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</si>
  <si>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</si>
  <si>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</si>
  <si>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</si>
  <si>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</si>
  <si>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</si>
  <si>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</si>
  <si>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</si>
  <si>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</si>
  <si>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</si>
  <si>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</si>
  <si>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</si>
  <si>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</si>
  <si>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</si>
  <si>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</si>
  <si>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</si>
  <si>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</si>
  <si>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</si>
  <si>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</si>
  <si>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</si>
  <si>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</si>
  <si>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</si>
  <si>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</si>
  <si>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</si>
  <si>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</si>
  <si>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</si>
  <si>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</si>
  <si>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</si>
  <si>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</si>
  <si>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</si>
  <si>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</si>
  <si>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</si>
  <si>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</si>
  <si>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</si>
  <si>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</si>
  <si>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</si>
  <si>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</si>
  <si>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</si>
  <si>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</si>
  <si>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</si>
  <si>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</si>
  <si>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</si>
  <si>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</si>
  <si>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</si>
  <si>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</si>
  <si>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</si>
  <si>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</si>
  <si>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</si>
  <si>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</si>
  <si>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</si>
  <si>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</si>
  <si>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</si>
  <si>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</si>
  <si>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</si>
  <si>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</si>
  <si>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</si>
  <si>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</si>
  <si>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</si>
  <si>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</si>
  <si>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</si>
  <si>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</si>
  <si>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</si>
  <si>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</si>
  <si>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</si>
  <si>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</si>
  <si>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</si>
  <si>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</si>
  <si>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</si>
  <si>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</si>
  <si>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</si>
  <si>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</si>
  <si>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</si>
  <si>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</si>
  <si>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</si>
  <si>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</si>
  <si>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</si>
  <si>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</si>
  <si>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</si>
  <si>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</si>
  <si>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</si>
  <si>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</si>
  <si>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</si>
  <si>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</si>
  <si>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</si>
  <si>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</si>
  <si>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</si>
  <si>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</si>
  <si>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</si>
  <si>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</si>
  <si>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</si>
  <si>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</si>
  <si>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</si>
  <si>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</si>
  <si>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</si>
  <si>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</si>
  <si>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</si>
  <si>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</si>
  <si>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</si>
  <si>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</si>
  <si>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</si>
  <si>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</si>
  <si>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</si>
  <si>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</si>
  <si>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</si>
  <si>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</si>
  <si>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</si>
  <si>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</si>
  <si>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</si>
  <si>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</si>
  <si>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</si>
  <si>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</si>
  <si>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</si>
  <si>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</si>
  <si>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</si>
  <si>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</si>
  <si>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</si>
  <si>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</si>
  <si>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</si>
  <si>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</si>
  <si>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</si>
  <si>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</si>
  <si>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</si>
  <si>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</si>
  <si>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</si>
  <si>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</si>
  <si>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</si>
  <si>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</si>
  <si>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</si>
  <si>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</si>
  <si>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</si>
  <si>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</si>
  <si>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</si>
  <si>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</si>
  <si>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</si>
  <si>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</si>
  <si>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</si>
  <si>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</si>
  <si>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</si>
  <si>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</si>
  <si>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</si>
  <si>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</si>
  <si>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</si>
  <si>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</si>
  <si>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</si>
  <si>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</si>
  <si>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</si>
  <si>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</si>
  <si>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</si>
  <si>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</si>
  <si>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</si>
  <si>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</si>
  <si>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</si>
  <si>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</si>
  <si>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</si>
  <si>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</si>
  <si>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</si>
  <si>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</si>
  <si>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</si>
  <si>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</si>
  <si>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</si>
  <si>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</si>
  <si>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</si>
  <si>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</si>
  <si>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</si>
  <si>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</si>
  <si>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</si>
  <si>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</si>
  <si>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</si>
  <si>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</si>
  <si>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</si>
  <si>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</si>
  <si>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</si>
  <si>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</si>
  <si>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</si>
  <si>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</si>
  <si>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</si>
  <si>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</si>
  <si>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</si>
  <si>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</si>
  <si>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</si>
  <si>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</si>
  <si>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</si>
  <si>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</si>
  <si>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</si>
  <si>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</si>
  <si>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</si>
  <si>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</si>
  <si>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</si>
  <si>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</si>
  <si>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</si>
  <si>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</si>
  <si>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</si>
  <si>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</si>
  <si>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</si>
  <si>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</si>
  <si>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</si>
  <si>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</si>
  <si>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</si>
  <si>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</si>
  <si>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</si>
  <si>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</si>
  <si>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</si>
  <si>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</si>
  <si>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</si>
  <si>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</si>
  <si>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</si>
  <si>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</si>
  <si>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</si>
  <si>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</si>
  <si>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</si>
  <si>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</si>
  <si>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</si>
  <si>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</si>
  <si>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</si>
  <si>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</si>
  <si>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</si>
  <si>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</si>
  <si>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</si>
  <si>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</si>
  <si>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</si>
  <si>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</si>
  <si>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</si>
  <si>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</si>
  <si>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</si>
  <si>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</si>
  <si>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</si>
  <si>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</si>
  <si>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</si>
  <si>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</si>
  <si>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</si>
  <si>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</si>
  <si>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</si>
  <si>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</si>
  <si>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</si>
  <si>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</si>
  <si>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</si>
  <si>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</si>
  <si>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</si>
  <si>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</si>
  <si>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</si>
  <si>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</si>
  <si>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</si>
  <si>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</si>
  <si>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</si>
  <si>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</si>
  <si>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</si>
  <si>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</si>
  <si>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</si>
  <si>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</si>
  <si>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</si>
  <si>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</si>
  <si>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</si>
  <si>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</si>
  <si>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</si>
  <si>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</si>
  <si>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</si>
  <si>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</si>
  <si>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</si>
  <si>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</si>
  <si>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</si>
  <si>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</si>
  <si>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</si>
  <si>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</si>
  <si>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</si>
  <si>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</si>
  <si>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</si>
  <si>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</si>
  <si>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</si>
  <si>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</si>
  <si>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</si>
  <si>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</si>
  <si>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</si>
  <si>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</si>
  <si>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</si>
  <si>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</si>
  <si>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</si>
  <si>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</si>
  <si>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</si>
  <si>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</si>
  <si>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</si>
  <si>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</si>
  <si>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</si>
  <si>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</si>
  <si>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</si>
  <si>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</si>
  <si>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</si>
  <si>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</si>
  <si>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</si>
  <si>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</si>
  <si>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</si>
  <si>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</si>
  <si>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</si>
  <si>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</si>
  <si>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</si>
  <si>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</si>
  <si>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</si>
  <si>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</si>
  <si>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</si>
  <si>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</si>
  <si>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</si>
  <si>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</si>
  <si>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</si>
  <si>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</si>
  <si>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</si>
  <si>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</si>
  <si>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</si>
  <si>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</si>
  <si>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</si>
  <si>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</si>
  <si>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</si>
  <si>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</si>
  <si>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</si>
  <si>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</si>
  <si>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</si>
  <si>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</si>
  <si>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</si>
  <si>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</si>
  <si>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</si>
  <si>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</si>
  <si>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</si>
  <si>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</si>
  <si>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</si>
  <si>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</si>
  <si>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</si>
  <si>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</si>
  <si>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</si>
  <si>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</si>
  <si>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</si>
  <si>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</si>
  <si>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</si>
  <si>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</si>
  <si>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</si>
  <si>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</si>
  <si>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</si>
  <si>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</si>
  <si>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</si>
  <si>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</si>
  <si>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</si>
  <si>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</si>
  <si>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</si>
  <si>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</si>
  <si>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</si>
  <si>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</si>
  <si>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</si>
  <si>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</si>
  <si>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</si>
  <si>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</si>
  <si>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</si>
  <si>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</si>
  <si>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</si>
  <si>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</si>
  <si>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</si>
  <si>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</si>
  <si>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</si>
  <si>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</si>
  <si>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</si>
  <si>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</si>
  <si>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</si>
  <si>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</si>
  <si>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</si>
  <si>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</si>
  <si>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</si>
  <si>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</si>
  <si>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</si>
  <si>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</si>
  <si>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</si>
  <si>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</si>
  <si>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</si>
  <si>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</si>
  <si>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</si>
  <si>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</si>
  <si>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</si>
  <si>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</si>
  <si>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</si>
  <si>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</si>
  <si>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</si>
  <si>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</si>
  <si>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</si>
  <si>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</si>
  <si>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</si>
  <si>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</si>
  <si>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</si>
  <si>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</si>
  <si>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</si>
  <si>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</si>
  <si>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</si>
  <si>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</si>
  <si>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</si>
  <si>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</si>
  <si>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</si>
  <si>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</si>
  <si>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</si>
  <si>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</si>
  <si>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</si>
  <si>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</si>
  <si>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</si>
  <si>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</si>
  <si>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</si>
  <si>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</si>
  <si>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</si>
  <si>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</si>
  <si>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</si>
  <si>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</si>
  <si>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</si>
  <si>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</si>
  <si>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</si>
  <si>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</si>
  <si>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</si>
  <si>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</si>
  <si>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</si>
  <si>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</si>
  <si>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</si>
  <si>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</si>
  <si>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</si>
  <si>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</si>
  <si>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</si>
  <si>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</si>
  <si>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</si>
  <si>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</si>
  <si>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</si>
  <si>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</si>
  <si>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</si>
  <si>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</si>
  <si>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</si>
  <si>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</si>
  <si>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</si>
  <si>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</si>
  <si>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</si>
  <si>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</si>
  <si>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</si>
  <si>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</si>
  <si>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</si>
  <si>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</si>
  <si>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</si>
  <si>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</si>
  <si>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</si>
  <si>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</si>
  <si>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</si>
  <si>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</si>
  <si>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</si>
  <si>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</si>
  <si>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</si>
  <si>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</si>
  <si>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</si>
  <si>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</si>
  <si>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</si>
  <si>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</si>
  <si>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</si>
  <si>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</si>
  <si>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</si>
  <si>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</si>
  <si>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</si>
  <si>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</si>
  <si>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</si>
  <si>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</si>
  <si>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</si>
  <si>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</si>
  <si>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</si>
  <si>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</si>
  <si>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</si>
  <si>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</si>
  <si>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</si>
  <si>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</si>
  <si>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</si>
  <si>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</si>
  <si>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</si>
  <si>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</si>
  <si>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</si>
  <si>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</si>
  <si>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</si>
  <si>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</si>
  <si>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</si>
  <si>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</si>
  <si>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</si>
  <si>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</si>
  <si>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</si>
  <si>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</si>
  <si>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</si>
  <si>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</si>
  <si>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</si>
  <si>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</si>
  <si>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</si>
  <si>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</si>
  <si>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</si>
  <si>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</si>
  <si>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</si>
  <si>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</si>
  <si>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</si>
  <si>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</si>
  <si>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</si>
  <si>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</si>
  <si>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</si>
  <si>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</si>
  <si>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</si>
  <si>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</si>
  <si>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</si>
  <si>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</si>
  <si>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</si>
  <si>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</si>
  <si>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</si>
  <si>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</si>
  <si>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</si>
  <si>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</si>
  <si>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</si>
  <si>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</si>
  <si>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</si>
  <si>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</si>
  <si>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</si>
  <si>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</si>
  <si>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</si>
  <si>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</si>
  <si>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</si>
  <si>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</si>
  <si>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</si>
  <si>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</si>
  <si>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</si>
  <si>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</si>
  <si>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</si>
  <si>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</si>
  <si>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</si>
  <si>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</si>
  <si>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</si>
  <si>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</si>
  <si>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</si>
  <si>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</si>
  <si>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</si>
  <si>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</si>
  <si>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</si>
  <si>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</si>
  <si>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</si>
  <si>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</si>
  <si>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</si>
  <si>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</si>
  <si>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</si>
  <si>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</si>
  <si>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</si>
  <si>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</si>
  <si>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</si>
  <si>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</si>
  <si>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</si>
  <si>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</si>
  <si>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</si>
  <si>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</si>
  <si>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</si>
  <si>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</si>
  <si>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</si>
  <si>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</si>
  <si>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</si>
  <si>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</si>
  <si>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</si>
  <si>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</si>
  <si>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</si>
  <si>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</si>
  <si>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</si>
  <si>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</si>
  <si>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</si>
  <si>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</si>
  <si>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</si>
  <si>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</si>
  <si>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</si>
  <si>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</si>
  <si>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</si>
  <si>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</si>
  <si>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</si>
  <si>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</si>
  <si>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</si>
  <si>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</si>
  <si>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</si>
  <si>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</si>
  <si>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</si>
  <si>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</si>
  <si>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</si>
  <si>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</si>
  <si>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</si>
  <si>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</si>
  <si>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</si>
  <si>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</si>
  <si>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</si>
  <si>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</si>
  <si>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</si>
  <si>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</si>
  <si>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</si>
  <si>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</si>
  <si>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</si>
  <si>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</si>
  <si>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</si>
  <si>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</si>
  <si>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</si>
  <si>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</si>
  <si>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</si>
  <si>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</si>
  <si>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</si>
  <si>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</si>
  <si>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</si>
  <si>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</si>
  <si>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</si>
  <si>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</si>
  <si>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</si>
  <si>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</si>
  <si>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</si>
  <si>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</si>
  <si>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</si>
  <si>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</si>
  <si>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</si>
  <si>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</si>
  <si>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</si>
  <si>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</si>
  <si>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</si>
  <si>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</si>
  <si>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</si>
  <si>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</si>
  <si>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</si>
  <si>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</si>
  <si>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</si>
  <si>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</si>
  <si>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</si>
  <si>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</si>
  <si>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</si>
  <si>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</si>
  <si>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</si>
  <si>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</si>
  <si>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</si>
  <si>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</si>
  <si>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</si>
  <si>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</si>
  <si>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</si>
  <si>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</si>
  <si>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</si>
  <si>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</si>
  <si>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</si>
  <si>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</si>
  <si>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</si>
  <si>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</si>
  <si>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</si>
  <si>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</si>
  <si>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</si>
  <si>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</si>
  <si>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</si>
  <si>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</si>
  <si>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</si>
  <si>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</si>
  <si>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</si>
  <si>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</si>
  <si>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</si>
  <si>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</si>
  <si>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</si>
  <si>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</si>
  <si>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</si>
  <si>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</si>
  <si>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</si>
  <si>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</si>
  <si>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</si>
  <si>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</si>
  <si>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</si>
  <si>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</si>
  <si>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</si>
  <si>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</si>
  <si>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</si>
  <si>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</si>
  <si>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</si>
  <si>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</si>
  <si>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</si>
  <si>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</si>
  <si>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</si>
  <si>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</si>
  <si>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</si>
  <si>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</si>
  <si>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</si>
  <si>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</si>
  <si>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</si>
  <si>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</si>
  <si>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</si>
  <si>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</si>
  <si>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</si>
  <si>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</si>
  <si>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</si>
  <si>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</si>
  <si>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</si>
  <si>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</si>
  <si>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</si>
  <si>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</si>
  <si>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</si>
  <si>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</si>
  <si>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</si>
  <si>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</si>
  <si>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</si>
  <si>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</si>
  <si>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</si>
  <si>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</si>
  <si>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</si>
  <si>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</si>
  <si>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</si>
  <si>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</si>
  <si>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</si>
  <si>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</si>
  <si>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</si>
  <si>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</si>
  <si>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</si>
  <si>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</si>
  <si>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</si>
  <si>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</si>
  <si>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</si>
  <si>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</si>
  <si>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</si>
  <si>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</si>
  <si>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</si>
  <si>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</si>
  <si>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</si>
  <si>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</si>
  <si>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</si>
  <si>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</si>
  <si>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</si>
  <si>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</si>
  <si>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</si>
  <si>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</si>
  <si>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</si>
  <si>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</si>
  <si>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</si>
  <si>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</si>
  <si>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</si>
  <si>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</si>
  <si>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</si>
  <si>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</si>
  <si>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</si>
  <si>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</si>
  <si>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</si>
  <si>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</si>
  <si>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</si>
  <si>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</si>
  <si>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</si>
  <si>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</si>
  <si>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</si>
  <si>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</si>
  <si>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</si>
  <si>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</si>
  <si>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</si>
  <si>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</si>
  <si>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</si>
  <si>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</si>
  <si>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</si>
  <si>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</si>
  <si>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</si>
  <si>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</si>
  <si>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</si>
  <si>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</si>
  <si>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</si>
  <si>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</si>
  <si>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</si>
  <si>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</si>
  <si>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</si>
  <si>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</si>
  <si>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</si>
  <si>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</si>
  <si>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</si>
  <si>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</si>
  <si>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</si>
  <si>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</si>
  <si>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</si>
  <si>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</si>
  <si>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</si>
  <si>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</si>
  <si>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</si>
  <si>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</si>
  <si>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</si>
  <si>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</si>
  <si>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</si>
  <si>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</si>
  <si>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</si>
  <si>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</si>
  <si>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</si>
  <si>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</si>
  <si>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</si>
  <si>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</si>
  <si>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</si>
  <si>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</si>
  <si>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</si>
  <si>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</si>
  <si>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</si>
  <si>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</si>
  <si>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</si>
  <si>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</si>
  <si>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</si>
  <si>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</si>
  <si>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</si>
  <si>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</si>
  <si>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</si>
  <si>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</si>
  <si>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</si>
  <si>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</si>
  <si>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</si>
  <si>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</si>
  <si>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</si>
  <si>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</si>
  <si>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</si>
  <si>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</si>
  <si>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</si>
  <si>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</si>
  <si>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</si>
  <si>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</si>
  <si>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</si>
  <si>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</si>
  <si>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</si>
  <si>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</si>
  <si>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</si>
  <si>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</si>
  <si>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</si>
  <si>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</si>
  <si>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</si>
  <si>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</si>
  <si>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</si>
  <si>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</si>
  <si>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</si>
  <si>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</si>
  <si>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</si>
  <si>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</si>
  <si>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</si>
  <si>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</si>
  <si>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</si>
  <si>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</si>
  <si>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</si>
  <si>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</si>
  <si>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</si>
  <si>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</si>
  <si>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</si>
  <si>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</si>
  <si>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</si>
  <si>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</si>
  <si>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</si>
  <si>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</si>
  <si>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</si>
  <si>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</si>
  <si>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</si>
  <si>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</si>
  <si>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</si>
  <si>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</si>
  <si>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</si>
  <si>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</si>
  <si>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</si>
  <si>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</si>
  <si>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</si>
  <si>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</si>
  <si>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</si>
  <si>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</si>
  <si>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</si>
  <si>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</si>
  <si>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</si>
  <si>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</si>
  <si>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</si>
  <si>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</si>
  <si>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</si>
  <si>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</si>
  <si>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</si>
  <si>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</si>
  <si>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</si>
  <si>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</si>
  <si>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</si>
  <si>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</si>
  <si>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</si>
  <si>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</si>
  <si>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</si>
  <si>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</si>
  <si>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</si>
  <si>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</si>
  <si>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</si>
  <si>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</si>
  <si>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</si>
  <si>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</si>
  <si>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</si>
  <si>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</si>
  <si>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</si>
  <si>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</si>
  <si>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</si>
  <si>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</si>
  <si>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</si>
  <si>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</si>
  <si>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</si>
  <si>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</si>
  <si>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</si>
  <si>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</si>
  <si>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</si>
  <si>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</si>
  <si>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</si>
  <si>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</si>
  <si>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</si>
  <si>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</si>
  <si>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</si>
  <si>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</si>
  <si>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</si>
  <si>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</si>
  <si>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</si>
  <si>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</si>
  <si>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</si>
  <si>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</si>
  <si>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</si>
  <si>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</si>
  <si>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</si>
  <si>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</si>
  <si>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</si>
  <si>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</si>
  <si>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</si>
  <si>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</si>
  <si>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</si>
  <si>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</si>
  <si>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</si>
  <si>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</si>
  <si>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</si>
  <si>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</si>
  <si>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</si>
  <si>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</si>
  <si>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</si>
  <si>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</si>
  <si>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</si>
  <si>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</si>
  <si>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</si>
  <si>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</si>
  <si>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</si>
  <si>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</si>
  <si>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</si>
  <si>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</si>
  <si>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</si>
  <si>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</si>
  <si>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</si>
  <si>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</si>
  <si>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</si>
  <si>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</si>
  <si>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</si>
  <si>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</si>
  <si>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</si>
  <si>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</si>
  <si>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</si>
  <si>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</si>
  <si>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</si>
  <si>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</si>
  <si>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</si>
  <si>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</si>
  <si>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</si>
  <si>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</si>
  <si>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</si>
  <si>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</si>
  <si>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</si>
  <si>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</si>
  <si>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</si>
  <si>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</si>
  <si>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</si>
  <si>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</si>
  <si>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</si>
  <si>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</si>
  <si>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</si>
  <si>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</si>
  <si>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</si>
  <si>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</si>
  <si>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</si>
  <si>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</si>
  <si>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</si>
  <si>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</si>
  <si>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</si>
  <si>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</si>
  <si>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</si>
  <si>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</si>
  <si>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</si>
  <si>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</si>
  <si>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</si>
  <si>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</si>
  <si>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</si>
  <si>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</si>
  <si>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</si>
  <si>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</si>
  <si>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</si>
  <si>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</si>
  <si>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</si>
  <si>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</si>
  <si>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</si>
  <si>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</si>
  <si>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</si>
  <si>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</si>
  <si>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</si>
  <si>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</si>
  <si>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</si>
  <si>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</si>
  <si>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</si>
  <si>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</si>
  <si>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</si>
  <si>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</si>
  <si>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</si>
  <si>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</si>
  <si>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</si>
  <si>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</si>
  <si>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</si>
  <si>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</si>
  <si>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</si>
  <si>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</si>
  <si>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</si>
  <si>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</si>
  <si>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</si>
  <si>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</si>
  <si>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</si>
  <si>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</si>
  <si>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</si>
  <si>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</si>
  <si>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</si>
  <si>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</si>
  <si>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</si>
  <si>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</si>
  <si>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</si>
  <si>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</si>
  <si>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</si>
  <si>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</si>
  <si>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</si>
  <si>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</si>
  <si>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</si>
  <si>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</si>
  <si>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</si>
  <si>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</si>
  <si>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</si>
  <si>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</si>
  <si>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</si>
  <si>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</si>
  <si>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</si>
  <si>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</si>
  <si>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</si>
  <si>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</si>
  <si>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</si>
  <si>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</si>
  <si>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</si>
  <si>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</si>
  <si>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</si>
  <si>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</si>
  <si>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</si>
  <si>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</si>
  <si>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</si>
  <si>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</si>
  <si>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</si>
  <si>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</si>
  <si>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</si>
  <si>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</si>
  <si>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</si>
  <si>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</si>
  <si>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</si>
  <si>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</si>
  <si>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</si>
  <si>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</si>
  <si>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</si>
  <si>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</si>
  <si>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</si>
  <si>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</si>
  <si>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</si>
  <si>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</si>
  <si>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</si>
  <si>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</si>
  <si>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</si>
  <si>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</si>
  <si>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</si>
  <si>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</si>
  <si>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</si>
  <si>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</si>
  <si>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</si>
  <si>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</si>
  <si>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</si>
  <si>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</si>
  <si>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</si>
  <si>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</si>
  <si>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</si>
  <si>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</si>
  <si>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</si>
  <si>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</si>
  <si>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</si>
  <si>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</si>
  <si>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</si>
  <si>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</si>
  <si>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</si>
  <si>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</si>
  <si>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</si>
  <si>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</si>
  <si>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</si>
  <si>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</si>
  <si>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</si>
  <si>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</si>
  <si>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</si>
  <si>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</si>
  <si>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</si>
  <si>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</si>
  <si>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</si>
  <si>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</si>
  <si>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</si>
  <si>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</si>
  <si>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</si>
  <si>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</si>
  <si>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</si>
  <si>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</si>
  <si>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</si>
  <si>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</si>
  <si>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</si>
  <si>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</si>
  <si>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</si>
  <si>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</si>
  <si>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</si>
  <si>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</si>
  <si>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</si>
  <si>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</si>
  <si>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</si>
  <si>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</si>
  <si>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</si>
  <si>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</si>
  <si>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</si>
  <si>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</si>
  <si>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</si>
  <si>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</si>
  <si>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</si>
  <si>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</si>
  <si>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</si>
  <si>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</si>
  <si>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</si>
  <si>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</si>
  <si>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</si>
  <si>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</si>
  <si>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</si>
  <si>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</si>
  <si>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</si>
  <si>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</si>
  <si>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</si>
  <si>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</si>
  <si>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</si>
  <si>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</si>
  <si>
    <t>3</t>
  </si>
  <si>
    <t>0</t>
  </si>
  <si>
    <t>2</t>
  </si>
  <si>
    <t>=SIERREUR(RECHERCHEV("702200";'BAL N'!A:H;8;FAUX);SIERREUR(RECHERCHEV(702200;'BAL N'!A:H;8;FAUX);0))</t>
  </si>
  <si>
    <t>Test Autre</t>
  </si>
  <si>
    <t>1</t>
  </si>
  <si>
    <t/>
  </si>
  <si>
    <t>MAROTTA Eduardo</t>
  </si>
  <si>
    <t>Italienne</t>
  </si>
  <si>
    <t>BGFI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</si>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</sst>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v>44196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43831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44196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44196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43830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1890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1891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44196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 t="s">
        <v>1887</v>
      </c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1881</v>
      </c>
      <c r="E33" s="490" t="s">
        <v>1882</v>
      </c>
      <c r="F33" s="490" t="s">
        <v>1882</v>
      </c>
      <c r="G33" s="490" t="s">
        <v>1882</v>
      </c>
      <c r="H33" s="490" t="s">
        <v>1883</v>
      </c>
      <c r="I33" s="490" t="s">
        <v>1882</v>
      </c>
      <c r="J33" s="126"/>
      <c r="K33" s="108"/>
      <c r="L33" s="127" t="s">
        <v>1884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1885</v>
      </c>
      <c r="C36" s="129"/>
      <c r="D36" s="125" t="s">
        <v>1886</v>
      </c>
      <c r="E36" s="125" t="s">
        <v>1882</v>
      </c>
      <c r="F36" s="125" t="s">
        <v>1882</v>
      </c>
      <c r="G36" s="125" t="s">
        <v>1882</v>
      </c>
      <c r="H36" s="125" t="s">
        <v>1881</v>
      </c>
      <c r="I36" s="125" t="s">
        <v>1882</v>
      </c>
      <c r="J36" s="130"/>
      <c r="K36" s="108"/>
      <c r="L36" s="105" t="s">
        <v>1884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44196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44196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44196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31/12/2020</v>
      </c>
      <c r="E6" s="1054"/>
      <c r="F6" s="1055"/>
      <c r="G6" s="568" t="str">
        <f>IFERROR("Exercice au 31/12/"&amp;YEAR('Fiche de renseignement R1'!Q20),"Exercice au 31/12/N-1")</f>
        <v>Exercice au 31/12/2019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31/12/2020</v>
      </c>
      <c r="L6" s="569" t="str">
        <f>IFERROR("Exercice au 31/12/"&amp;YEAR('Fiche de renseignement R1'!Q20),"Exercice au 31/12/N-1")</f>
        <v>Exercice au 31/12/2019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44196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31/12/2020</v>
      </c>
      <c r="F6" s="46" t="str">
        <f>IFERROR("31/12/"&amp;YEAR('Fiche de renseignement R1'!Q20),"Exercice au 31/12/N-1")</f>
        <v>31/12/2019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44196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31/12/2020</v>
      </c>
      <c r="F6" s="667" t="str">
        <f>IFERROR("31/12/"&amp;YEAR('Fiche de renseignement R1'!Q20),"Exercice au 31/12/N-1")</f>
        <v>31/12/2019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44196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44196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44196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44196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44196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2020</v>
      </c>
      <c r="C7" s="1087">
        <f>IFERROR(YEAR('Fiche de renseignement R1'!Q20),"Annee N-1")</f>
        <v>2019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2020</v>
      </c>
      <c r="C8" s="1152"/>
      <c r="D8" s="1151">
        <f>IFERROR(YEAR('Fiche de renseignement R1'!Q20),"Annee N-1")</f>
        <v>2019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2020</v>
      </c>
      <c r="C22" s="1141"/>
      <c r="D22" s="1140">
        <f>IFERROR(YEAR('Fiche de renseignement R1'!Q20),"Annee N-1")</f>
        <v>2019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2020</v>
      </c>
      <c r="C7" s="1087">
        <f>IFERROR(YEAR('Fiche de renseignement R1'!Q20),"Annee N-1")</f>
        <v>2019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2020</v>
      </c>
      <c r="C7" s="1087">
        <f>IFERROR(YEAR('Fiche de renseignement R1'!Q20),"Annee N-1")</f>
        <v>2019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44196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44196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5">
        <f>IFERROR(YEAR('Fiche de renseignement R1'!Q20),"Annee N-1")</f>
        <v>2019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070">
        <f>IFERROR(YEAR('Fiche de renseignement R1'!Q20),"Annee N-1")</f>
        <v>2019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44196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1888</v>
      </c>
      <c r="B10" s="153" t="s">
        <v>1889</v>
      </c>
      <c r="C10" s="1179">
        <v>7250000</v>
      </c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44196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2020</v>
      </c>
      <c r="C7" s="1141"/>
      <c r="D7" s="1140">
        <f>IFERROR(YEAR('Fiche de renseignement R1'!Q20),"Annee N-1")</f>
        <v>2019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44196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2020</v>
      </c>
      <c r="D7" s="1087">
        <f>IFERROR(YEAR('Fiche de renseignement R1'!Q20),"Annee N-1")</f>
        <v>2019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44196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2020</v>
      </c>
      <c r="D7" s="1087">
        <f>IFERROR(YEAR('Fiche de renseignement R1'!Q20),"Annee N-1")</f>
        <v>2019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44196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2020</v>
      </c>
      <c r="C6" s="1087">
        <f>IFERROR(YEAR('Fiche de renseignement R1'!Q20),"Annee N-1")</f>
        <v>2019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44196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2020</v>
      </c>
      <c r="C8" s="1095"/>
      <c r="D8" s="1093">
        <f>IFERROR(YEAR('Fiche de renseignement R1'!Q20),"Annee N-1")</f>
        <v>2019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2020</v>
      </c>
      <c r="C22" s="1095"/>
      <c r="D22" s="1093">
        <f>IFERROR(YEAR('Fiche de renseignement R1'!Q20),"Annee N-1")</f>
        <v>2019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2020</v>
      </c>
      <c r="D36" s="1095"/>
      <c r="E36" s="1093">
        <f>IFERROR(YEAR('Fiche de renseignement R1'!Q20),"Annee N-1")</f>
        <v>2019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44196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2020</v>
      </c>
      <c r="C7" s="1070"/>
      <c r="D7" s="1070">
        <f>IFERROR(YEAR('Fiche de renseignement R1'!Q20),"Annee N-1")</f>
        <v>2019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2020</v>
      </c>
      <c r="C17" s="1095"/>
      <c r="D17" s="1212">
        <f>IFERROR(YEAR('Fiche de renseignement R1'!Q20),"Annee N-1")</f>
        <v>2019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44196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2020</v>
      </c>
      <c r="D7" s="159">
        <f>IFERROR(YEAR('Fiche de renseignement R1'!Q20),"Annee N-1")</f>
        <v>2019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44196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2020</v>
      </c>
      <c r="C6" s="1087">
        <f>IFERROR(YEAR('Fiche de renseignement R1'!Q20),"Annee N-1")</f>
        <v>2019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44196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2020</v>
      </c>
      <c r="C6" s="1087">
        <f>IFERROR(YEAR('Fiche de renseignement R1'!Q20),"Annee N-1")</f>
        <v>2019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44196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2020</v>
      </c>
      <c r="C6" s="1087">
        <f>IFERROR(YEAR('Fiche de renseignement R1'!Q20),"Annee N-1")</f>
        <v>2019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5">
        <f>IFERROR(YEAR('Fiche de renseignement R1'!Q20),"Annee N-1")</f>
        <v>2019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5">
        <f>IFERROR(YEAR('Fiche de renseignement R1'!Q20),"Annee N-1")</f>
        <v>2019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2020</v>
      </c>
      <c r="C6" s="1170">
        <f>IFERROR(YEAR('Fiche de renseignement R1'!Q20),"Annee N-1")</f>
        <v>2019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44196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44196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44196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2020</v>
      </c>
      <c r="C6" s="1252">
        <f>IFERROR(YEAR('Fiche de renseignement R1'!Q20),"Annee N-1")</f>
        <v>2019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44196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2020</v>
      </c>
      <c r="C6" s="1252">
        <f>IFERROR(YEAR('Fiche de renseignement R1'!Q20),"Annee N-1")</f>
        <v>2019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44196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2020</v>
      </c>
      <c r="C6" s="1254">
        <f>IFERROR(YEAR('Fiche de renseignement R1'!V10)-1,"N-1")</f>
        <v>2019</v>
      </c>
      <c r="D6" s="1254">
        <f>IFERROR(YEAR('Fiche de renseignement R1'!V10)-2,"N-2")</f>
        <v>2018</v>
      </c>
      <c r="E6" s="1254">
        <f>IFERROR(YEAR('Fiche de renseignement R1'!V10)-3,"N-3")</f>
        <v>2017</v>
      </c>
      <c r="F6" s="1254">
        <f>IFERROR(YEAR('Fiche de renseignement R1'!V10)-4,"N-4")</f>
        <v>2016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44196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44196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2020</v>
      </c>
      <c r="C6" s="868">
        <f>IFERROR(YEAR('Fiche de renseignement R1'!Q20),"Annee N-1")</f>
        <v>2019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44196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8c8b04-d5e3-4d53-b0b6-3880a55fa34c}">
  <dimension ref="A5"/>
  <sheetViews>
    <sheetView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43d7e1-db4f-444e-9692-99ff78c8c6c2}">
  <dimension ref="A5"/>
  <sheetViews>
    <sheetView tabSelected="1" workbookViewId="0" topLeftCell="A1"/>
  </sheetViews>
  <sheetFormatPr defaultRowHeight="12.75"/>
  <sheetData>
    <row r="5" spans="1:1" ht="23.25" customHeight="1">
      <c r="A5" s="1321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