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<sst xmlns="http://schemas.openxmlformats.org/spreadsheetml/2006/main" count="4706" uniqueCount="1885">
  <si>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</si>
  <si>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</si>
  <si>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</si>
  <si>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</si>
  <si>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</si>
  <si>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</si>
  <si>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</si>
  <si>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</si>
  <si>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</si>
  <si>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</si>
  <si>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</si>
  <si>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</si>
  <si>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</si>
  <si>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</si>
  <si>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</si>
  <si>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</si>
  <si>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</si>
  <si>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</si>
  <si>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</si>
  <si>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</si>
  <si>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</si>
  <si>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</si>
  <si>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</si>
  <si>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</si>
  <si>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</si>
  <si>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</si>
  <si>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</si>
  <si>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</si>
  <si>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</si>
  <si>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</si>
  <si>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</si>
  <si>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</si>
  <si>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</si>
  <si>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</si>
  <si>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</si>
  <si>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</si>
  <si>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</si>
  <si>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</si>
  <si>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</si>
  <si>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</si>
  <si>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</si>
  <si>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</si>
  <si>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</si>
  <si>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</si>
  <si>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</si>
  <si>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</si>
  <si>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</si>
  <si>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</si>
  <si>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</si>
  <si>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</si>
  <si>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</si>
  <si>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</si>
  <si>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</si>
  <si>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</si>
  <si>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</si>
  <si>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</si>
  <si>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</si>
  <si>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</si>
  <si>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</si>
  <si>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</si>
  <si>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</si>
  <si>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</si>
  <si>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</si>
  <si>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</si>
  <si>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</si>
  <si>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</si>
  <si>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</si>
  <si>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</si>
  <si>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</si>
  <si>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</si>
  <si>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</si>
  <si>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</si>
  <si>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</si>
  <si>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</si>
  <si>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</si>
  <si>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</si>
  <si>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</si>
  <si>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</si>
  <si>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</si>
  <si>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</si>
  <si>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</si>
  <si>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</si>
  <si>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</si>
  <si>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</si>
  <si>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</si>
  <si>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</si>
  <si>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</si>
  <si>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</si>
  <si>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</si>
  <si>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</si>
  <si>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</si>
  <si>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</si>
  <si>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</si>
  <si>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</si>
  <si>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</si>
  <si>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</si>
  <si>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</si>
  <si>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</si>
  <si>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</si>
  <si>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</si>
  <si>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</si>
  <si>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</si>
  <si>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</si>
  <si>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</si>
  <si>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</si>
  <si>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</si>
  <si>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</si>
  <si>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</si>
  <si>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</si>
  <si>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</si>
  <si>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</si>
  <si>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</si>
  <si>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</si>
  <si>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</si>
  <si>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</si>
  <si>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</si>
  <si>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</si>
  <si>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</si>
  <si>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</si>
  <si>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</si>
  <si>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</si>
  <si>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</si>
  <si>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</si>
  <si>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</si>
  <si>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</si>
  <si>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</si>
  <si>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</si>
  <si>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</si>
  <si>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</si>
  <si>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</si>
  <si>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</si>
  <si>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</si>
  <si>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</si>
  <si>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</si>
  <si>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</si>
  <si>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</si>
  <si>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</si>
  <si>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</si>
  <si>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</si>
  <si>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</si>
  <si>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</si>
  <si>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</si>
  <si>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</si>
  <si>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</si>
  <si>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</si>
  <si>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</si>
  <si>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</si>
  <si>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</si>
  <si>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</si>
  <si>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</si>
  <si>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</si>
  <si>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</si>
  <si>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</si>
  <si>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</si>
  <si>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</si>
  <si>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</si>
  <si>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</si>
  <si>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</si>
  <si>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</si>
  <si>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</si>
  <si>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</si>
  <si>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</si>
  <si>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</si>
  <si>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</si>
  <si>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</si>
  <si>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</si>
  <si>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</si>
  <si>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</si>
  <si>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</si>
  <si>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</si>
  <si>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</si>
  <si>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</si>
  <si>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</si>
  <si>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</si>
  <si>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</si>
  <si>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</si>
  <si>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</si>
  <si>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</si>
  <si>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</si>
  <si>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</si>
  <si>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</si>
  <si>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</si>
  <si>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</si>
  <si>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</si>
  <si>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</si>
  <si>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</si>
  <si>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</si>
  <si>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</si>
  <si>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</si>
  <si>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</si>
  <si>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</si>
  <si>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</si>
  <si>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</si>
  <si>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</si>
  <si>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</si>
  <si>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</si>
  <si>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</si>
  <si>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</si>
  <si>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</si>
  <si>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</si>
  <si>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</si>
  <si>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</si>
  <si>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</si>
  <si>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</si>
  <si>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</si>
  <si>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</si>
  <si>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</si>
  <si>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</si>
  <si>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</si>
  <si>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</si>
  <si>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</si>
  <si>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</si>
  <si>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</si>
  <si>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</si>
  <si>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</si>
  <si>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</si>
  <si>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</si>
  <si>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</si>
  <si>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</si>
  <si>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</si>
  <si>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</si>
  <si>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</si>
  <si>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</si>
  <si>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</si>
  <si>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</si>
  <si>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</si>
  <si>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</si>
  <si>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</si>
  <si>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</si>
  <si>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</si>
  <si>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</si>
  <si>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</si>
  <si>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</si>
  <si>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</si>
  <si>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</si>
  <si>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</si>
  <si>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</si>
  <si>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</si>
  <si>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</si>
  <si>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</si>
  <si>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</si>
  <si>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</si>
  <si>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</si>
  <si>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</si>
  <si>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</si>
  <si>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</si>
  <si>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</si>
  <si>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</si>
  <si>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</si>
  <si>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</si>
  <si>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</si>
  <si>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</si>
  <si>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</si>
  <si>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</si>
  <si>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</si>
  <si>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</si>
  <si>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</si>
  <si>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</si>
  <si>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</si>
  <si>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</si>
  <si>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</si>
  <si>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</si>
  <si>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</si>
  <si>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</si>
  <si>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</si>
  <si>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</si>
  <si>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</si>
  <si>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</si>
  <si>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</si>
  <si>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</si>
  <si>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</si>
  <si>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</si>
  <si>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</si>
  <si>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</si>
  <si>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</si>
  <si>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</si>
  <si>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</si>
  <si>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</si>
  <si>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</si>
  <si>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</si>
  <si>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</si>
  <si>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</si>
  <si>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</si>
  <si>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</si>
  <si>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</si>
  <si>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</si>
  <si>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</si>
  <si>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</si>
  <si>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</si>
  <si>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</si>
  <si>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</si>
  <si>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</si>
  <si>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</si>
  <si>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</si>
  <si>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</si>
  <si>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</si>
  <si>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</si>
  <si>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</si>
  <si>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</si>
  <si>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</si>
  <si>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</si>
  <si>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</si>
  <si>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</si>
  <si>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</si>
  <si>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</si>
  <si>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</si>
  <si>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</si>
  <si>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</si>
  <si>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</si>
  <si>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</si>
  <si>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</si>
  <si>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</si>
  <si>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</si>
  <si>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</si>
  <si>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</si>
  <si>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</si>
  <si>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</si>
  <si>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</si>
  <si>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</si>
  <si>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</si>
  <si>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</si>
  <si>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</si>
  <si>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</si>
  <si>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</si>
  <si>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</si>
  <si>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</si>
  <si>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</si>
  <si>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</si>
  <si>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</si>
  <si>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</si>
  <si>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</si>
  <si>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</si>
  <si>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</si>
  <si>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</si>
  <si>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</si>
  <si>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</si>
  <si>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</si>
  <si>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</si>
  <si>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</si>
  <si>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</si>
  <si>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</si>
  <si>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</si>
  <si>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</si>
  <si>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</si>
  <si>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</si>
  <si>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</si>
  <si>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</si>
  <si>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</si>
  <si>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</si>
  <si>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</si>
  <si>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</si>
  <si>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</si>
  <si>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</si>
  <si>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</si>
  <si>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</si>
  <si>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</si>
  <si>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</si>
  <si>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</si>
  <si>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</si>
  <si>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</si>
  <si>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</si>
  <si>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</si>
  <si>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</si>
  <si>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</si>
  <si>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</si>
  <si>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</si>
  <si>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</si>
  <si>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</si>
  <si>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</si>
  <si>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</si>
  <si>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</si>
  <si>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</si>
  <si>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</si>
  <si>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</si>
  <si>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</si>
  <si>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</si>
  <si>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</si>
  <si>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</si>
  <si>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</si>
  <si>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</si>
  <si>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</si>
  <si>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</si>
  <si>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</si>
  <si>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</si>
  <si>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</si>
  <si>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</si>
  <si>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</si>
  <si>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</si>
  <si>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</si>
  <si>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</si>
  <si>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</si>
  <si>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</si>
  <si>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</si>
  <si>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</si>
  <si>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</si>
  <si>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</si>
  <si>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</si>
  <si>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</si>
  <si>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</si>
  <si>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</si>
  <si>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</si>
  <si>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</si>
  <si>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</si>
  <si>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</si>
  <si>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</si>
  <si>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</si>
  <si>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</si>
  <si>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</si>
  <si>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</si>
  <si>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</si>
  <si>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</si>
  <si>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</si>
  <si>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</si>
  <si>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</si>
  <si>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</si>
  <si>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</si>
  <si>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</si>
  <si>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</si>
  <si>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</si>
  <si>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</si>
  <si>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</si>
  <si>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</si>
  <si>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</si>
  <si>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</si>
  <si>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</si>
  <si>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</si>
  <si>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</si>
  <si>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</si>
  <si>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</si>
  <si>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</si>
  <si>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</si>
  <si>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</si>
  <si>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</si>
  <si>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</si>
  <si>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</si>
  <si>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</si>
  <si>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</si>
  <si>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</si>
  <si>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</si>
  <si>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</si>
  <si>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</si>
  <si>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</si>
  <si>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</si>
  <si>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</si>
  <si>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</si>
  <si>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</si>
  <si>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</si>
  <si>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</si>
  <si>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</si>
  <si>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</si>
  <si>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</si>
  <si>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</si>
  <si>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</si>
  <si>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</si>
  <si>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</si>
  <si>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</si>
  <si>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</si>
  <si>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</si>
  <si>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</si>
  <si>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</si>
  <si>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</si>
  <si>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</si>
  <si>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</si>
  <si>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</si>
  <si>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</si>
  <si>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</si>
  <si>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</si>
  <si>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</si>
  <si>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</si>
  <si>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</si>
  <si>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</si>
  <si>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</si>
  <si>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</si>
  <si>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</si>
  <si>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</si>
  <si>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</si>
  <si>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</si>
  <si>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</si>
  <si>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</si>
  <si>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</si>
  <si>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</si>
  <si>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</si>
  <si>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</si>
  <si>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</si>
  <si>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</si>
  <si>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</si>
  <si>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</si>
  <si>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</si>
  <si>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</si>
  <si>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</si>
  <si>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</si>
  <si>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</si>
  <si>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</si>
  <si>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</si>
  <si>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</si>
  <si>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</si>
  <si>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</si>
  <si>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</si>
  <si>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</si>
  <si>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</si>
  <si>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</si>
  <si>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</si>
  <si>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</si>
  <si>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</si>
  <si>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</si>
  <si>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</si>
  <si>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</si>
  <si>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</si>
  <si>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</si>
  <si>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</si>
  <si>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</si>
  <si>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</si>
  <si>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</si>
  <si>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</si>
  <si>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</si>
  <si>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</si>
  <si>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</si>
  <si>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</si>
  <si>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</si>
  <si>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</si>
  <si>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</si>
  <si>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</si>
  <si>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</si>
  <si>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</si>
  <si>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</si>
  <si>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</si>
  <si>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</si>
  <si>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</si>
  <si>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</si>
  <si>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</si>
  <si>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</si>
  <si>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</si>
  <si>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</si>
  <si>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</si>
  <si>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</si>
  <si>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</si>
  <si>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</si>
  <si>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</si>
  <si>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</si>
  <si>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</si>
  <si>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</si>
  <si>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</si>
  <si>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</si>
  <si>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</si>
  <si>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</si>
  <si>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</si>
  <si>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</si>
  <si>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</si>
  <si>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</si>
  <si>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</si>
  <si>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</si>
  <si>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</si>
  <si>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</si>
  <si>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</si>
  <si>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</si>
  <si>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</si>
  <si>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</si>
  <si>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</si>
  <si>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</si>
  <si>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</si>
  <si>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</si>
  <si>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</si>
  <si>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</si>
  <si>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</si>
  <si>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</si>
  <si>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</si>
  <si>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</si>
  <si>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</si>
  <si>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</si>
  <si>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</si>
  <si>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</si>
  <si>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</si>
  <si>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</si>
  <si>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</si>
  <si>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</si>
  <si>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</si>
  <si>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</si>
  <si>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</si>
  <si>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</si>
  <si>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</si>
  <si>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</si>
  <si>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</si>
  <si>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</si>
  <si>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</si>
  <si>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</si>
  <si>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</si>
  <si>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</si>
  <si>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</si>
  <si>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</si>
  <si>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</si>
  <si>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</si>
  <si>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</si>
  <si>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</si>
  <si>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</si>
  <si>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</si>
  <si>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</si>
  <si>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</si>
  <si>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</si>
  <si>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</si>
  <si>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</si>
  <si>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</si>
  <si>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</si>
  <si>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</si>
  <si>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</si>
  <si>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</si>
  <si>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</si>
  <si>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</si>
  <si>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</si>
  <si>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</si>
  <si>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</si>
  <si>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</si>
  <si>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</si>
  <si>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</si>
  <si>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</si>
  <si>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</si>
  <si>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</si>
  <si>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</si>
  <si>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</si>
  <si>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</si>
  <si>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</si>
  <si>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</si>
  <si>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</si>
  <si>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</si>
  <si>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</si>
  <si>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</si>
  <si>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</si>
  <si>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</si>
  <si>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</si>
  <si>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</si>
  <si>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</si>
  <si>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</si>
  <si>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</si>
  <si>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</si>
  <si>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</si>
  <si>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</si>
  <si>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</si>
  <si>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</si>
  <si>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</si>
  <si>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</si>
  <si>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</si>
  <si>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</si>
  <si>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</si>
  <si>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</si>
  <si>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</si>
  <si>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</si>
  <si>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</si>
  <si>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</si>
  <si>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</si>
  <si>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</si>
  <si>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</si>
  <si>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</si>
  <si>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</si>
  <si>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</si>
  <si>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</si>
  <si>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</si>
  <si>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</si>
  <si>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</si>
  <si>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</si>
  <si>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</si>
  <si>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</si>
  <si>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</si>
  <si>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</si>
  <si>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</si>
  <si>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</si>
  <si>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</si>
  <si>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</si>
  <si>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</si>
  <si>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</si>
  <si>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</si>
  <si>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</si>
  <si>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</si>
  <si>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</si>
  <si>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</si>
  <si>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</si>
  <si>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</si>
  <si>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</si>
  <si>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</si>
  <si>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</si>
  <si>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</si>
  <si>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</si>
  <si>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</si>
  <si>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</si>
  <si>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</si>
  <si>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</si>
  <si>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</si>
  <si>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</si>
  <si>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</si>
  <si>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</si>
  <si>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</si>
  <si>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</si>
  <si>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</si>
  <si>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</si>
  <si>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</si>
  <si>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</si>
  <si>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</si>
  <si>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</si>
  <si>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</si>
  <si>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</si>
  <si>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</si>
  <si>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</si>
  <si>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</si>
  <si>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</si>
  <si>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</si>
  <si>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</si>
  <si>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</si>
  <si>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</si>
  <si>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</si>
  <si>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</si>
  <si>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</si>
  <si>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</si>
  <si>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</si>
  <si>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</si>
  <si>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</si>
  <si>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</si>
  <si>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</si>
  <si>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</si>
  <si>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</si>
  <si>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</si>
  <si>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</si>
  <si>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</si>
  <si>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</si>
  <si>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</si>
  <si>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</si>
  <si>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</si>
  <si>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</si>
  <si>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</si>
  <si>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</si>
  <si>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</si>
  <si>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</si>
  <si>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</si>
  <si>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</si>
  <si>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</si>
  <si>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</si>
  <si>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</si>
  <si>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</si>
  <si>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</si>
  <si>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</si>
  <si>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</si>
  <si>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</si>
  <si>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</si>
  <si>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</si>
  <si>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</si>
  <si>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</si>
  <si>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</si>
  <si>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</si>
  <si>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</si>
  <si>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</si>
  <si>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</si>
  <si>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</si>
  <si>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</si>
  <si>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</si>
  <si>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</si>
  <si>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</si>
  <si>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</si>
  <si>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</si>
  <si>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</si>
  <si>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</si>
  <si>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</si>
  <si>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</si>
  <si>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</si>
  <si>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</si>
  <si>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</si>
  <si>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</si>
  <si>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</si>
  <si>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</si>
  <si>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</si>
  <si>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</si>
  <si>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</si>
  <si>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</si>
  <si>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</si>
  <si>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</si>
  <si>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</si>
  <si>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</si>
  <si>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</si>
  <si>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</si>
  <si>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</si>
  <si>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</si>
  <si>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</si>
  <si>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</si>
  <si>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</si>
  <si>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</si>
  <si>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</si>
  <si>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</si>
  <si>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</si>
  <si>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</si>
  <si>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</si>
  <si>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</si>
  <si>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</si>
  <si>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</si>
  <si>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</si>
  <si>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</si>
  <si>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</si>
  <si>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</si>
  <si>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</si>
  <si>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</si>
  <si>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</si>
  <si>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</si>
  <si>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</si>
  <si>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</si>
  <si>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</si>
  <si>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</si>
  <si>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</si>
  <si>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</si>
  <si>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</si>
  <si>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</si>
  <si>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</si>
  <si>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</si>
  <si>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</si>
  <si>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</si>
  <si>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</si>
  <si>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</si>
  <si>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</si>
  <si>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</si>
  <si>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</si>
  <si>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</si>
  <si>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</si>
  <si>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</si>
  <si>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</si>
  <si>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</si>
  <si>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</si>
  <si>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</si>
  <si>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</si>
  <si>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</si>
  <si>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</si>
  <si>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</si>
  <si>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</si>
  <si>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</si>
  <si>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</si>
  <si>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</si>
  <si>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</si>
  <si>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</si>
  <si>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</si>
  <si>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</si>
  <si>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</si>
  <si>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</si>
  <si>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</si>
  <si>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</si>
  <si>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</si>
  <si>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</si>
  <si>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</si>
  <si>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</si>
  <si>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</si>
  <si>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</si>
  <si>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</si>
  <si>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</si>
  <si>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</si>
  <si>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</si>
  <si>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</si>
  <si>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</si>
  <si>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</si>
  <si>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</si>
  <si>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</si>
  <si>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</si>
  <si>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</si>
  <si>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</si>
  <si>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</si>
  <si>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</si>
  <si>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</si>
  <si>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</si>
  <si>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</si>
  <si>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</si>
  <si>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</si>
  <si>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</si>
  <si>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</si>
  <si>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</si>
  <si>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</si>
  <si>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</si>
  <si>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</si>
  <si>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</si>
  <si>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</si>
  <si>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</si>
  <si>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</si>
  <si>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</si>
  <si>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</si>
  <si>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</si>
  <si>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</si>
  <si>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</si>
  <si>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</si>
  <si>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</si>
  <si>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</si>
  <si>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</si>
  <si>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</si>
  <si>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</si>
  <si>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</si>
  <si>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</si>
  <si>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</si>
  <si>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</si>
  <si>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</si>
  <si>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</si>
  <si>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</si>
  <si>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</si>
  <si>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</si>
  <si>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</si>
  <si>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</si>
  <si>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</si>
  <si>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</si>
  <si>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</si>
  <si>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</si>
  <si>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</si>
  <si>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</si>
  <si>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</si>
  <si>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</si>
  <si>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</si>
  <si>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</si>
  <si>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</si>
  <si>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</si>
  <si>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</si>
  <si>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</si>
  <si>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</si>
  <si>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</si>
  <si>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</si>
  <si>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</si>
  <si>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</si>
  <si>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</si>
  <si>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</si>
  <si>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</si>
  <si>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</si>
  <si>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</si>
  <si>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</si>
  <si>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</si>
  <si>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</si>
  <si>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</si>
  <si>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</si>
  <si>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</si>
  <si>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</si>
  <si>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</si>
  <si>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</si>
  <si>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</si>
  <si>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</si>
  <si>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</si>
  <si>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</si>
  <si>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</si>
  <si>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</si>
  <si>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</si>
  <si>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</si>
  <si>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</si>
  <si>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</si>
  <si>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</si>
  <si>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</si>
  <si>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</si>
  <si>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</si>
  <si>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</si>
  <si>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</si>
  <si>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</si>
  <si>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</si>
  <si>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</si>
  <si>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</si>
  <si>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</si>
  <si>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</si>
  <si>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</si>
  <si>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</si>
  <si>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</si>
  <si>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</si>
  <si>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</si>
  <si>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</si>
  <si>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</si>
  <si>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</si>
  <si>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</si>
  <si>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</si>
  <si>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</si>
  <si>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</si>
  <si>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</si>
  <si>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</si>
  <si>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</si>
  <si>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</si>
  <si>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</si>
  <si>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</si>
  <si>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</si>
  <si>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</si>
  <si>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</si>
  <si>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</si>
  <si>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</si>
  <si>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</si>
  <si>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</si>
  <si>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</si>
  <si>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</si>
  <si>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</si>
  <si>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</si>
  <si>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</si>
  <si>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</si>
  <si>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</si>
  <si>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</si>
  <si>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</si>
  <si>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</si>
  <si>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</si>
  <si>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</si>
  <si>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</si>
  <si>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</si>
  <si>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</si>
  <si>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</si>
  <si>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</si>
  <si>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</si>
  <si>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</si>
  <si>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</si>
  <si>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</si>
  <si>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</si>
  <si>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</si>
  <si>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</si>
  <si>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</si>
  <si>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</si>
  <si>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</si>
  <si>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</si>
  <si>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</si>
  <si>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</si>
  <si>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</si>
  <si>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</si>
  <si>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</si>
  <si>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</si>
  <si>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</si>
  <si>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</si>
  <si>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</si>
  <si>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</si>
  <si>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</si>
  <si>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</si>
  <si>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</si>
  <si>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</si>
  <si>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</si>
  <si>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</si>
  <si>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</si>
  <si>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</si>
  <si>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</si>
  <si>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</si>
  <si>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</si>
  <si>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</si>
  <si>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</si>
  <si>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</si>
  <si>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</si>
  <si>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</si>
  <si>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</si>
  <si>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</si>
  <si>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</si>
  <si>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</si>
  <si>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</si>
  <si>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</si>
  <si>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</si>
  <si>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</si>
  <si>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</si>
  <si>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</si>
  <si>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</si>
  <si>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</si>
  <si>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</si>
  <si>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</si>
  <si>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</si>
  <si>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</si>
  <si>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</si>
  <si>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</si>
  <si>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</si>
  <si>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</si>
  <si>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</si>
  <si>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</si>
  <si>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</si>
  <si>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</si>
  <si>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</si>
  <si>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</si>
  <si>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</si>
  <si>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</si>
  <si>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</si>
  <si>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</si>
  <si>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</si>
  <si>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</si>
  <si>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</si>
  <si>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</si>
  <si>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</si>
  <si>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</si>
  <si>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</si>
  <si>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</si>
  <si>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</si>
  <si>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</si>
  <si>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</si>
  <si>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</si>
  <si>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</si>
  <si>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</si>
  <si>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</si>
  <si>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</si>
  <si>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</si>
  <si>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</si>
  <si>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</si>
  <si>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</si>
  <si>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</si>
  <si>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</si>
  <si>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</si>
  <si>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</si>
  <si>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</si>
  <si>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</si>
  <si>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</si>
  <si>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</si>
  <si>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</si>
  <si>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</si>
  <si>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</si>
  <si>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</si>
  <si>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</si>
  <si>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</si>
  <si>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</si>
  <si>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</si>
  <si>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</si>
  <si>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</si>
  <si>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</si>
  <si>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</si>
  <si>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</si>
  <si>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</si>
  <si>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</si>
  <si>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</si>
  <si>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</si>
  <si>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</si>
  <si>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</si>
  <si>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</si>
  <si>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</si>
  <si>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</si>
  <si>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</si>
  <si>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</si>
  <si>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</si>
  <si>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</si>
  <si>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</si>
  <si>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</si>
  <si>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</si>
  <si>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</si>
  <si>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</si>
  <si>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</si>
  <si>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</si>
  <si>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</si>
  <si>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</si>
  <si>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</si>
  <si>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</si>
  <si>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</si>
  <si>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</si>
  <si>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</si>
  <si>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</si>
  <si>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</si>
  <si>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</si>
  <si>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</si>
  <si>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</si>
  <si>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</si>
  <si>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</si>
  <si>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</si>
  <si>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</si>
  <si>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</si>
  <si>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</si>
  <si>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</si>
  <si>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</si>
  <si>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</si>
  <si>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</si>
  <si>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</si>
  <si>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</si>
  <si>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</si>
  <si>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</si>
  <si>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</si>
  <si>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</si>
  <si>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</si>
  <si>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</si>
  <si>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</si>
  <si>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</si>
  <si>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</si>
  <si>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</si>
  <si>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</si>
  <si>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</si>
  <si>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</si>
  <si>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</si>
  <si>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</si>
  <si>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</si>
  <si>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</si>
  <si>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</si>
  <si>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</si>
  <si>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</si>
  <si>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</si>
  <si>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</si>
  <si>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</si>
  <si>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</si>
  <si>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</si>
  <si>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</si>
  <si>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</si>
  <si>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</si>
  <si>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</si>
  <si>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</si>
  <si>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</si>
  <si>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</si>
  <si>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</si>
  <si>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</si>
  <si>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</si>
  <si>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</si>
  <si>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</si>
  <si>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</si>
  <si>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</si>
  <si>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</si>
  <si>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</si>
  <si>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</si>
  <si>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</si>
  <si>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</si>
  <si>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</si>
  <si>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</si>
  <si>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</si>
  <si>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</si>
  <si>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</si>
  <si>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</si>
  <si>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</si>
  <si>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</si>
  <si>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</si>
  <si>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</si>
  <si>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</si>
  <si>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</si>
  <si>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</si>
  <si>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</si>
  <si>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</si>
  <si>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</si>
  <si>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</si>
  <si>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</si>
  <si>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</si>
  <si>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</si>
  <si>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</si>
  <si>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</si>
  <si>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</si>
  <si>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</si>
  <si>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</si>
  <si>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</si>
  <si>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</si>
  <si>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</si>
  <si>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</si>
  <si>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</si>
  <si>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</si>
  <si>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</si>
  <si>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</si>
  <si>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</si>
  <si>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</si>
  <si>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</si>
  <si>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</si>
  <si>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</si>
  <si>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</si>
  <si>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</si>
  <si>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</si>
  <si>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</si>
  <si>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</si>
  <si>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</si>
  <si>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</si>
  <si>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</si>
  <si>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</si>
  <si>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</si>
  <si>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</si>
  <si>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</si>
  <si>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</si>
  <si>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</si>
  <si>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</si>
  <si>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</si>
  <si>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</si>
  <si>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</si>
  <si>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</si>
  <si>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</si>
  <si>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</si>
  <si>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</si>
  <si>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</si>
  <si>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</si>
  <si>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</si>
  <si>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</si>
  <si>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</si>
  <si>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</si>
  <si>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</si>
  <si>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</si>
  <si>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</si>
  <si>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</si>
  <si>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</si>
  <si>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</si>
  <si>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</si>
  <si>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</si>
  <si>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</si>
  <si>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</si>
  <si>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</si>
  <si>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</si>
  <si>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</si>
  <si>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</si>
  <si>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</si>
  <si>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</si>
  <si>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</si>
  <si>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</si>
  <si>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</si>
  <si>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</si>
  <si>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</si>
  <si>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</si>
  <si>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</si>
  <si>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</si>
  <si>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</si>
  <si>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</si>
  <si>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</si>
  <si>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</si>
  <si>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</si>
  <si>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</si>
  <si>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</si>
  <si>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</si>
  <si>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</si>
  <si>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</si>
  <si>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</si>
  <si>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</si>
  <si>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</si>
  <si>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</si>
  <si>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</si>
  <si>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</si>
  <si>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</si>
  <si>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</si>
  <si>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</si>
  <si>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</si>
  <si>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</si>
  <si>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</si>
  <si>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</si>
  <si>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</si>
  <si>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</si>
  <si>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</si>
  <si>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</si>
  <si>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</si>
  <si>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</si>
  <si>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</si>
  <si>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</si>
  <si>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</si>
  <si>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</si>
  <si>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</si>
  <si>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</si>
  <si>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</si>
  <si>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</si>
  <si>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</si>
  <si>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</si>
  <si>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</si>
  <si>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</si>
  <si>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</si>
  <si>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</si>
  <si>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</si>
  <si>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</si>
  <si>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</si>
  <si>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</si>
  <si>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</si>
  <si>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</si>
  <si>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</si>
  <si>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</si>
  <si>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</si>
  <si>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</si>
  <si>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</si>
  <si>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</si>
  <si>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</si>
  <si>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</si>
  <si>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</si>
  <si>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</si>
  <si>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</si>
  <si>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</si>
  <si>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</si>
  <si>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</si>
  <si>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</si>
  <si>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</si>
  <si>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</si>
  <si>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</si>
  <si>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</si>
  <si>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</si>
  <si>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</si>
  <si>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</si>
  <si>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</si>
  <si>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</si>
  <si>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</si>
  <si>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</si>
  <si>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</si>
  <si>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</si>
  <si>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</si>
  <si>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</si>
  <si>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</si>
  <si>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</si>
  <si>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</si>
  <si>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</si>
  <si>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</si>
  <si>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</si>
  <si>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</si>
  <si>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</si>
  <si>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</si>
  <si>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</si>
  <si>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</si>
  <si>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</si>
  <si>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</si>
  <si>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</si>
  <si>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</si>
  <si>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</si>
  <si>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</si>
  <si>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</si>
  <si>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</si>
  <si>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</si>
  <si>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</si>
  <si>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</si>
  <si>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</si>
  <si>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</si>
  <si>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</si>
  <si>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</si>
  <si>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</si>
  <si>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</si>
  <si>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</si>
  <si>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</si>
  <si>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</si>
  <si>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</si>
  <si>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</si>
  <si>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</si>
  <si>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</si>
  <si>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</si>
  <si>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</si>
  <si>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</si>
  <si>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</si>
  <si>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</si>
  <si>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</si>
  <si>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</si>
  <si>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</si>
  <si>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</si>
  <si>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</si>
  <si>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</si>
  <si>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</si>
  <si>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</si>
  <si>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</si>
  <si>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</si>
  <si>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</si>
  <si>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</si>
  <si>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</si>
  <si>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</si>
  <si>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</si>
  <si>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</si>
  <si>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</si>
  <si>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</si>
  <si>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</si>
  <si>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</si>
  <si>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</si>
  <si>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</si>
  <si>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</si>
  <si>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</si>
  <si>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</si>
  <si>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</si>
  <si>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</si>
  <si>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</si>
  <si>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</si>
  <si>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</si>
  <si>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</si>
  <si>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</si>
  <si>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</si>
  <si>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</si>
  <si>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</si>
  <si>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</si>
  <si>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</si>
  <si>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</si>
  <si>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</si>
  <si>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</si>
  <si>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</si>
  <si>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</si>
  <si>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</si>
  <si>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</si>
  <si>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</si>
  <si>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</si>
  <si>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</si>
  <si>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</si>
  <si>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</si>
  <si>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</si>
  <si>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</si>
  <si>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</si>
  <si>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</si>
  <si>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</si>
  <si>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</si>
  <si>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</si>
  <si>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</si>
  <si>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</si>
  <si>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</si>
  <si>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</si>
  <si>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</si>
  <si>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</si>
  <si>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</si>
  <si>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</si>
  <si>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</si>
  <si>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</si>
  <si>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</si>
  <si>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</si>
  <si>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</si>
  <si>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</si>
  <si>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</si>
  <si>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</si>
  <si>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</si>
  <si>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</si>
  <si>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</si>
  <si>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</si>
  <si>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</si>
  <si>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</si>
  <si>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</si>
  <si>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</si>
  <si>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</si>
  <si>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</si>
  <si>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</si>
  <si>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</si>
  <si>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</si>
  <si>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</si>
  <si>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</si>
  <si>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</si>
  <si>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</si>
  <si>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</si>
  <si>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</si>
  <si>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</si>
  <si>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</si>
  <si>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</si>
  <si>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</si>
  <si>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</si>
  <si>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</si>
  <si>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</si>
  <si>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</si>
  <si>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</si>
  <si>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</si>
  <si>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</si>
  <si>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</si>
  <si>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</si>
  <si>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</si>
  <si>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</si>
  <si>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</si>
  <si>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</si>
  <si>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</si>
  <si>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</si>
  <si>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</si>
  <si>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</si>
  <si>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</si>
  <si>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</si>
  <si>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</si>
  <si>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</si>
  <si>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</si>
  <si>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</si>
  <si>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</si>
  <si>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</si>
  <si>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</si>
  <si>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</si>
  <si>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</si>
  <si>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</si>
  <si>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</si>
  <si>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</si>
  <si>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</si>
  <si>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</si>
  <si>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</si>
  <si>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</si>
  <si>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</si>
  <si>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</si>
  <si>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</si>
  <si>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</si>
  <si>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</si>
  <si>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</si>
  <si>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</si>
  <si>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</si>
  <si>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</si>
  <si>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</si>
  <si>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</si>
  <si>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</si>
  <si>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</si>
  <si>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</si>
  <si>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</si>
  <si>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</si>
  <si>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</si>
  <si>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</si>
  <si>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</si>
  <si>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</si>
  <si>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</si>
  <si>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</si>
  <si>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</si>
  <si>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</si>
  <si>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</si>
  <si>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</si>
  <si>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</si>
  <si>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</si>
  <si>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</si>
  <si>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</si>
  <si>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</si>
  <si>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</si>
  <si>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</si>
  <si>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</si>
  <si>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</si>
  <si>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</si>
  <si>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</si>
  <si>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</si>
  <si>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</si>
  <si>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</si>
  <si>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</si>
  <si>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</si>
  <si>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</si>
  <si>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</si>
  <si>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</si>
  <si>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</si>
  <si>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</si>
  <si>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</si>
  <si>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</si>
  <si>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</si>
  <si>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</si>
  <si>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</si>
  <si>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</si>
  <si>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</si>
  <si>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</si>
  <si>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</si>
  <si>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</si>
  <si>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</si>
  <si>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</si>
  <si>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</si>
  <si>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</si>
  <si>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</si>
  <si>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</si>
  <si>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</si>
  <si>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</si>
  <si>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</si>
  <si>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</si>
  <si>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</si>
  <si>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</si>
  <si>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</si>
  <si>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</si>
  <si>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</si>
  <si>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</si>
  <si>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</si>
  <si>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</si>
  <si>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</si>
  <si>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</si>
  <si>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</si>
  <si>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</si>
  <si>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</si>
  <si>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</si>
  <si>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</si>
  <si>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</si>
  <si>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</si>
  <si>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</si>
  <si>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</si>
  <si>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</si>
  <si>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</si>
  <si>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</si>
  <si>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</si>
  <si>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</si>
  <si>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</si>
  <si>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</si>
  <si>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</si>
  <si>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</si>
  <si>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</si>
  <si>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</si>
  <si>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</si>
  <si>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</si>
  <si>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</si>
  <si>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</si>
  <si>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</si>
  <si>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</si>
  <si>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</si>
  <si>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</si>
  <si>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</si>
  <si>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</si>
  <si>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</si>
  <si>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</si>
  <si>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</si>
  <si>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</si>
  <si>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</si>
  <si>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</si>
  <si>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</si>
  <si>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</si>
  <si>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</si>
  <si>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</si>
  <si>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</si>
  <si>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</si>
  <si>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</si>
  <si>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</si>
  <si>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</si>
  <si>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</si>
  <si>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</si>
  <si>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</si>
  <si>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</si>
  <si>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</si>
  <si>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</si>
  <si>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</si>
  <si>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</si>
  <si>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</si>
  <si>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</si>
  <si>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</si>
  <si>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</si>
  <si>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</si>
  <si>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</si>
  <si>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</si>
  <si>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</si>
  <si>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</si>
  <si>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</si>
  <si>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</si>
  <si>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</si>
  <si>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</si>
  <si>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</si>
  <si>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</si>
  <si>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</si>
  <si>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</si>
  <si>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</si>
  <si>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</si>
  <si>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</si>
  <si>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</si>
  <si>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</si>
  <si>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</si>
  <si>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</si>
  <si>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</si>
  <si>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</si>
  <si>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</si>
  <si>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</si>
  <si>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</si>
  <si>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</si>
  <si>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</si>
  <si>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</si>
  <si>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</si>
  <si>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</si>
  <si>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</si>
  <si>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</si>
  <si>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</si>
  <si>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</si>
  <si>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</si>
  <si>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</si>
  <si>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</si>
  <si>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</si>
  <si>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</si>
  <si>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</si>
  <si>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</si>
  <si>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</si>
  <si>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</si>
  <si>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</si>
  <si>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</si>
  <si>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</si>
  <si>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</si>
  <si>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</si>
  <si>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</si>
  <si>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</si>
  <si>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</si>
  <si>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</si>
  <si>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</si>
  <si>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</si>
  <si>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</si>
  <si>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</si>
  <si>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</si>
  <si>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</si>
  <si>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</si>
  <si>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</si>
  <si>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</si>
  <si>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</si>
  <si>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</si>
  <si>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</si>
  <si>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</si>
  <si>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</si>
  <si>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</si>
  <si>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</si>
  <si>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</si>
  <si>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</si>
  <si>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</si>
  <si>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</si>
  <si>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</si>
  <si>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</si>
  <si>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</si>
  <si>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</si>
  <si>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</si>
  <si>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</si>
  <si>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</si>
  <si>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</si>
  <si>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</si>
  <si>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</si>
  <si>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</si>
  <si>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</si>
  <si>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</si>
  <si>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</si>
  <si>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</si>
  <si>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</si>
  <si>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</si>
  <si>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</si>
  <si>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</si>
  <si>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</si>
  <si>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</si>
  <si>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</si>
  <si>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</si>
  <si>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</si>
  <si>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</si>
  <si>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</si>
  <si>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</si>
  <si>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</si>
  <si>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</si>
  <si>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</si>
  <si>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</si>
  <si>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</si>
  <si>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</si>
  <si>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</si>
  <si>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</si>
  <si>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</si>
  <si>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</si>
  <si>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</si>
  <si>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</si>
  <si>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</si>
  <si>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</si>
  <si>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</si>
  <si>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</si>
  <si>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</si>
  <si>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</si>
  <si>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</si>
  <si>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</si>
  <si>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</si>
  <si>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</si>
  <si>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</si>
  <si>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</si>
  <si>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</si>
  <si>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</si>
  <si>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</si>
  <si>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</si>
  <si>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</si>
  <si>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</si>
  <si>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</si>
  <si>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</si>
  <si>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</si>
  <si>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</si>
  <si>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</si>
  <si>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</si>
  <si>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</si>
  <si>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</si>
  <si>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</si>
  <si>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</si>
  <si>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</si>
  <si>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</si>
  <si>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</si>
  <si>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</si>
  <si>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</si>
  <si>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</si>
  <si>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</si>
  <si>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</si>
  <si>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</si>
  <si>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</si>
  <si>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</si>
  <si>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</si>
  <si>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</si>
  <si>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</si>
  <si>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</si>
  <si>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</si>
  <si>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</si>
  <si>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</si>
  <si>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</si>
  <si>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</si>
  <si>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</si>
  <si>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</si>
  <si>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</si>
  <si>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</si>
  <si>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</si>
  <si>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</si>
  <si>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</si>
  <si>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</si>
  <si>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</si>
  <si>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</si>
  <si>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</si>
  <si>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</si>
  <si>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</si>
  <si>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</si>
  <si>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</si>
  <si>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</si>
  <si>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</si>
  <si>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</si>
  <si>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</si>
  <si>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</si>
  <si>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</si>
  <si>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</si>
  <si>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</si>
  <si>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</si>
  <si>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</si>
  <si>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</si>
  <si>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</si>
  <si>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</si>
  <si>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</si>
  <si>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</si>
  <si>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</si>
  <si>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</si>
  <si>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</si>
  <si>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</si>
  <si>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</si>
  <si>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</si>
  <si>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</si>
  <si>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</si>
  <si>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</si>
  <si>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</si>
  <si>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</si>
  <si>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</si>
  <si>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</si>
  <si>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</si>
  <si>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</si>
  <si>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</si>
  <si>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</si>
  <si>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</si>
  <si>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</si>
  <si>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</si>
  <si>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</si>
  <si>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</si>
  <si>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</si>
  <si>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</si>
  <si>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</si>
  <si>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</si>
  <si>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</si>
  <si>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</si>
  <si>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</si>
  <si>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</si>
  <si>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</si>
  <si>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</si>
  <si>
    <t>Africa cold 2</t>
  </si>
  <si>
    <t>AFCOLD2</t>
  </si>
  <si>
    <t>Almadis, Hopital magnetica</t>
  </si>
  <si>
    <t>Identifiant-123-4fr2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</si>
</sst>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>
        <v>45657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 t="s">
        <v>1881</v>
      </c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 t="s">
        <v>1882</v>
      </c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 t="s">
        <v>1883</v>
      </c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 t="s">
        <v>1884</v>
      </c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 t="str">
        <f>+'Page de garde'!L35</f>
        <v>Africa cold 2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 t="str">
        <f>'Page de garde'!J46</f>
        <v>Almadis, Hopital magnetica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 t="str">
        <f>+'Page de garde'!H41</f>
        <v>AFCOLD2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 t="str">
        <f>'Page de garde'!N51</f>
        <v>Identifiant-123-4fr2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45657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45657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 t="str">
        <f>+J4</f>
        <v>Africa cold 2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 t="str">
        <f>+AD7</f>
        <v>AFCOLD2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 t="str">
        <f>'Fiche de renseignement R1'!$J$4</f>
        <v>Africa cold 2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 t="str">
        <f>'Fiche de renseignement R1'!J7</f>
        <v>Almadis, Hopital magnetica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 t="str">
        <f>'Fiche de renseignement R1'!AD7</f>
        <v>AFCOLD2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 t="str">
        <f>+'Fiche de renseignement R1'!J10</f>
        <v>Identifiant-123-4fr2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45657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 t="str">
        <f>'Fiche de renseignement R1'!$J$4</f>
        <v>Africa cold 2</v>
      </c>
      <c r="C3" s="990"/>
      <c r="D3" s="990"/>
      <c r="E3" s="990"/>
      <c r="F3" s="990"/>
    </row>
    <row r="4" spans="1:6" ht="17.1" customHeight="1">
      <c r="A4" s="138" t="s">
        <v>27</v>
      </c>
      <c r="B4" s="1007" t="str">
        <f>'Activités de l''entreprise R2'!B6</f>
        <v>Almadis, Hopital magnetica</v>
      </c>
      <c r="C4" s="1025"/>
      <c r="D4" s="140" t="s">
        <v>28</v>
      </c>
      <c r="E4" s="141" t="str">
        <f>'Activités de l''entreprise R2'!M6</f>
        <v>AFCOLD2</v>
      </c>
      <c r="F4" s="142"/>
    </row>
    <row r="5" spans="1:6" ht="16.2" customHeight="1">
      <c r="A5" s="138" t="s">
        <v>110</v>
      </c>
      <c r="B5" s="141" t="str">
        <f>'Activités de l''entreprise R2'!B8</f>
        <v>Identifiant-123-4fr2</v>
      </c>
      <c r="C5" s="143" t="s">
        <v>29</v>
      </c>
      <c r="D5" s="310">
        <f>'Activités de l''entreprise R2'!K8</f>
        <v>45657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 t="str">
        <f>'Fiche de renseignement R1'!$J$4</f>
        <v>Africa cold 2</v>
      </c>
      <c r="C2" s="648"/>
      <c r="D2" s="150" t="s">
        <v>464</v>
      </c>
      <c r="E2" s="1038">
        <f>+'Fiche de renseignement R1'!$V$10</f>
        <v>45657</v>
      </c>
      <c r="F2" s="1039"/>
    </row>
    <row r="3" spans="1:6" ht="13.8">
      <c r="A3" s="1044" t="s">
        <v>466</v>
      </c>
      <c r="B3" s="1042" t="str">
        <f>+'Fiche de renseignement R1'!$J$10</f>
        <v>Identifiant-123-4fr2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 t="str">
        <f>'Fiche de renseignement R1'!$J$4</f>
        <v>Africa cold 2</v>
      </c>
      <c r="E3" s="1057"/>
      <c r="F3" s="1057"/>
      <c r="G3" s="1057"/>
      <c r="I3" s="150" t="s">
        <v>464</v>
      </c>
      <c r="J3" s="1060">
        <f>+'Fiche de renseignement R1'!$V$10</f>
        <v>45657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 t="str">
        <f>+'Fiche de renseignement R1'!$J$10</f>
        <v>Identifiant-123-4fr2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31/12/2024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31/12/2024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 t="str">
        <f>'Fiche de renseignement R1'!$J$4</f>
        <v>Africa cold 2</v>
      </c>
      <c r="C3" s="193"/>
      <c r="D3" s="150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1" t="s">
        <v>466</v>
      </c>
      <c r="B4" s="634" t="str">
        <f>+'Fiche de renseignement R1'!$J$10</f>
        <v>Identifiant-123-4fr2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31/12/2024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 t="str">
        <f>'Fiche de renseignement R1'!$J$4</f>
        <v>Africa cold 2</v>
      </c>
      <c r="C3" s="193"/>
      <c r="D3" s="193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2" t="s">
        <v>466</v>
      </c>
      <c r="B4" s="634" t="str">
        <f>+'Fiche de renseignement R1'!$J$10</f>
        <v>Identifiant-123-4fr2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31/12/2024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 t="str">
        <f>'Fiche de renseignement R1'!$J$4</f>
        <v>Africa cold 2</v>
      </c>
      <c r="C3" s="1067"/>
      <c r="D3" s="635" t="s">
        <v>464</v>
      </c>
      <c r="E3" s="1038">
        <f>+'Fiche de renseignement R1'!$V$10</f>
        <v>45657</v>
      </c>
      <c r="F3" s="1039"/>
    </row>
    <row r="4" spans="1:6" ht="15" customHeight="1">
      <c r="A4" s="1057" t="s">
        <v>466</v>
      </c>
      <c r="B4" s="1059" t="str">
        <f>+'Fiche de renseignement R1'!$J$10</f>
        <v>Identifiant-123-4fr2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 t="str">
        <f>'Fiche de renseignement R1'!$J$4</f>
        <v>Africa cold 2</v>
      </c>
      <c r="C3" s="150" t="s">
        <v>464</v>
      </c>
      <c r="D3" s="274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 t="str">
        <f>'Fiche de renseignement R1'!$J$4</f>
        <v>Africa cold 2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 t="str">
        <f>+'Note 1'!B4</f>
        <v>Identifiant-123-4fr2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 t="str">
        <f>'Fiche de renseignement R1'!$J$4</f>
        <v>Africa cold 2</v>
      </c>
      <c r="C3" s="1103"/>
      <c r="G3" s="165" t="s">
        <v>464</v>
      </c>
      <c r="H3" s="1100">
        <f>+'Note 1'!E3</f>
        <v>45657</v>
      </c>
      <c r="I3" s="1101"/>
    </row>
    <row r="4" spans="1:9" ht="15" customHeight="1">
      <c r="A4" s="150" t="s">
        <v>466</v>
      </c>
      <c r="B4" s="1102" t="str">
        <f>+'Note 1'!B4</f>
        <v>Identifiant-123-4fr2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 t="str">
        <f>'Fiche de renseignement R1'!$J$4</f>
        <v>Africa cold 2</v>
      </c>
      <c r="C3" s="1106"/>
      <c r="D3" s="640" t="s">
        <v>464</v>
      </c>
      <c r="E3" s="308">
        <f>+'Note 1'!E3</f>
        <v>45657</v>
      </c>
      <c r="F3" s="160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 t="str">
        <f>'Fiche de renseignement R1'!$J$4</f>
        <v>Africa cold 2</v>
      </c>
      <c r="C3" s="1103"/>
      <c r="D3" s="635" t="s">
        <v>464</v>
      </c>
      <c r="E3" s="1100">
        <f>+'Note 1'!E3</f>
        <v>45657</v>
      </c>
      <c r="F3" s="1101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 t="str">
        <f>'Fiche de renseignement R1'!$J$4</f>
        <v>Africa cold 2</v>
      </c>
      <c r="C3" s="193" t="s">
        <v>464</v>
      </c>
      <c r="D3" s="649">
        <f>+'Note 1'!E3</f>
        <v>45657</v>
      </c>
    </row>
    <row r="4" spans="1:4" ht="18" customHeight="1">
      <c r="A4" s="1057" t="s">
        <v>466</v>
      </c>
      <c r="B4" s="1107" t="str">
        <f>+'Note 1'!B4</f>
        <v>Identifiant-123-4fr2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 t="str">
        <f>'Fiche de renseignement R1'!$J$4</f>
        <v>Africa cold 2</v>
      </c>
      <c r="C3" s="1103"/>
      <c r="E3" s="640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2024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 2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2024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2024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638" t="str">
        <f>+'Note 1'!B4</f>
        <v>Identifiant-123-4fr2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 2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 2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 2</v>
      </c>
      <c r="C3" s="1106"/>
      <c r="E3" s="636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 2</v>
      </c>
      <c r="C3" s="150" t="s">
        <v>464</v>
      </c>
      <c r="D3" s="626">
        <f>+'Note 1'!E3</f>
        <v>45657</v>
      </c>
    </row>
    <row r="4" spans="1:4" ht="15" customHeight="1">
      <c r="A4" s="150" t="s">
        <v>466</v>
      </c>
      <c r="B4" s="627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 2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 2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 2</v>
      </c>
      <c r="C3" s="1103"/>
      <c r="E3" s="165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2024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 2</v>
      </c>
      <c r="C3" s="1103"/>
      <c r="E3" s="1200" t="s">
        <v>464</v>
      </c>
      <c r="F3" s="1200"/>
      <c r="G3" s="1198">
        <f>+'Note 1'!E3</f>
        <v>45657</v>
      </c>
      <c r="H3" s="1198"/>
    </row>
    <row r="4" spans="1:8" ht="15" customHeight="1">
      <c r="A4" s="1057" t="s">
        <v>466</v>
      </c>
      <c r="B4" s="1107" t="str">
        <f>+'Note 1'!B4</f>
        <v>Identifiant-123-4fr2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 t="str">
        <f>'Fiche de renseignement R1'!$J$4</f>
        <v>Africa cold 2</v>
      </c>
      <c r="C3" s="1201"/>
      <c r="E3" s="642" t="s">
        <v>464</v>
      </c>
      <c r="F3" s="1085">
        <f>+'Note 1'!E3</f>
        <v>45657</v>
      </c>
      <c r="G3" s="1085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 t="str">
        <f>'Fiche de renseignement R1'!$J$4</f>
        <v>Africa cold 2</v>
      </c>
      <c r="C3" s="1108"/>
      <c r="D3" s="193"/>
      <c r="E3" s="1040" t="s">
        <v>464</v>
      </c>
      <c r="F3" s="1040"/>
      <c r="G3" s="1198">
        <f>+'Note 1'!E3</f>
        <v>45657</v>
      </c>
      <c r="H3" s="1198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 t="str">
        <f>'Fiche de renseignement R1'!$J$4</f>
        <v>Africa cold 2</v>
      </c>
      <c r="C3" s="1103"/>
      <c r="D3" s="193" t="s">
        <v>464</v>
      </c>
      <c r="E3" s="684">
        <f>+'Note 1'!E3</f>
        <v>45657</v>
      </c>
      <c r="F3" s="658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2024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2024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2024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 t="str">
        <f>'Fiche de renseignement R1'!$J$4</f>
        <v>Africa cold 2</v>
      </c>
      <c r="C3" s="706"/>
      <c r="D3" s="703" t="s">
        <v>1454</v>
      </c>
      <c r="E3" s="856">
        <f>+'Note 1'!E3</f>
        <v>45657</v>
      </c>
    </row>
    <row r="4" spans="1:5" ht="15" customHeight="1">
      <c r="A4" s="150" t="s">
        <v>466</v>
      </c>
      <c r="B4" s="705" t="str">
        <f>+'Note 1'!B4</f>
        <v>Identifiant-123-4fr2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2024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2024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 t="str">
        <f>'Fiche de renseignement R1'!$J$4</f>
        <v>Africa cold 2</v>
      </c>
      <c r="C3" s="703" t="s">
        <v>464</v>
      </c>
      <c r="D3" s="322">
        <f>+'Note 1'!E3</f>
        <v>45657</v>
      </c>
    </row>
    <row r="4" spans="1:4" ht="20.4" customHeight="1">
      <c r="A4" s="193" t="s">
        <v>466</v>
      </c>
      <c r="B4" s="650" t="str">
        <f>+'Note 1'!B4</f>
        <v>Identifiant-123-4fr2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2024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 t="str">
        <f>'Fiche de renseignement R1'!$J$4</f>
        <v>Africa cold 2</v>
      </c>
      <c r="C3" s="1103"/>
      <c r="D3" s="1040" t="s">
        <v>464</v>
      </c>
      <c r="E3" s="1040"/>
      <c r="F3" s="1085">
        <f>+'Note 1'!E3</f>
        <v>45657</v>
      </c>
      <c r="G3" s="1085"/>
    </row>
    <row r="4" spans="1:7" s="193" customFormat="1" ht="21" customHeight="1">
      <c r="A4" s="193" t="s">
        <v>466</v>
      </c>
      <c r="B4" s="1222" t="str">
        <f>+'Note 1'!B4</f>
        <v>Identifiant-123-4fr2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 t="str">
        <f>'Fiche de renseignement R1'!$J$4</f>
        <v>Africa cold 2</v>
      </c>
      <c r="C3" s="1103"/>
      <c r="F3" s="703" t="s">
        <v>464</v>
      </c>
      <c r="G3" s="1085">
        <f>+'Note 1'!E3</f>
        <v>45657</v>
      </c>
      <c r="H3" s="1085"/>
    </row>
    <row r="4" spans="1:8" s="193" customFormat="1" ht="21" customHeight="1">
      <c r="A4" s="193" t="s">
        <v>466</v>
      </c>
      <c r="B4" s="1222" t="str">
        <f>+'Note 1'!B4</f>
        <v>Identifiant-123-4fr2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 2</v>
      </c>
      <c r="C3" s="1103"/>
      <c r="D3" s="379"/>
      <c r="E3" s="1057" t="s">
        <v>464</v>
      </c>
      <c r="F3" s="1057"/>
      <c r="G3" s="1100">
        <f>+'Note 1'!E3</f>
        <v>45657</v>
      </c>
      <c r="H3" s="1100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 t="str">
        <f>'Fiche de renseignement R1'!$J$4</f>
        <v>Africa cold 2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 t="str">
        <f>'Fiche de renseignement R1'!$J$4</f>
        <v>Africa cold 2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 t="str">
        <f>'Fiche de renseignement R1'!$J$4</f>
        <v>Africa cold 2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 t="str">
        <f>'Fiche de renseignement R1'!$J$4</f>
        <v>Africa cold 2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45657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 t="str">
        <f>+'Note 1'!B4</f>
        <v>Identifiant-123-4fr2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 t="str">
        <f>'Fiche de renseignement R1'!$J$4</f>
        <v>Africa cold 2</v>
      </c>
      <c r="C3" s="1106"/>
      <c r="G3" s="150" t="s">
        <v>464</v>
      </c>
      <c r="H3" s="1100">
        <f>+'Note 1'!E3</f>
        <v>45657</v>
      </c>
      <c r="I3" s="1101"/>
    </row>
    <row r="4" spans="1:9" s="150" customFormat="1" ht="15" customHeight="1">
      <c r="A4" s="1057" t="s">
        <v>466</v>
      </c>
      <c r="B4" s="1107" t="str">
        <f>+'Note 1'!B4</f>
        <v>Identifiant-123-4fr2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 t="str">
        <f>'Fiche de renseignement R1'!$J$4</f>
        <v>Africa cold 2</v>
      </c>
      <c r="C3" s="635" t="s">
        <v>464</v>
      </c>
      <c r="D3" s="850">
        <f>+'Note 1'!E3</f>
        <v>45657</v>
      </c>
    </row>
    <row r="4" spans="1:4" ht="23.4" customHeight="1">
      <c r="A4" s="193" t="s">
        <v>466</v>
      </c>
      <c r="B4" s="323" t="str">
        <f>+'Note 1'!B4</f>
        <v>Identifiant-123-4fr2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 t="str">
        <f>'Fiche de renseignement R1'!$J$4</f>
        <v>Africa cold 2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 t="str">
        <f>'Fiche de renseignement R1'!$J$4</f>
        <v>Africa cold 2</v>
      </c>
      <c r="C3" s="1106"/>
      <c r="D3" s="150" t="s">
        <v>464</v>
      </c>
      <c r="E3" s="1100">
        <f>+'Note 1'!E3</f>
        <v>45657</v>
      </c>
      <c r="F3" s="1101"/>
    </row>
    <row r="4" spans="1:6" s="150" customFormat="1" ht="15" customHeight="1">
      <c r="A4" s="150" t="s">
        <v>466</v>
      </c>
      <c r="B4" s="1102" t="str">
        <f>+'Note 1'!B4</f>
        <v>Identifiant-123-4fr2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2024</v>
      </c>
      <c r="C6" s="1254">
        <f>IFERROR(YEAR('Fiche de renseignement R1'!V10)-1,"N-1")</f>
        <v>2023</v>
      </c>
      <c r="D6" s="1254">
        <f>IFERROR(YEAR('Fiche de renseignement R1'!V10)-2,"N-2")</f>
        <v>2022</v>
      </c>
      <c r="E6" s="1254">
        <f>IFERROR(YEAR('Fiche de renseignement R1'!V10)-3,"N-3")</f>
        <v>2021</v>
      </c>
      <c r="F6" s="1254">
        <f>IFERROR(YEAR('Fiche de renseignement R1'!V10)-4,"N-4")</f>
        <v>2020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 t="str">
        <f>'Fiche de renseignement R1'!$J$4</f>
        <v>Africa cold 2</v>
      </c>
      <c r="C3" s="1103"/>
      <c r="D3" s="1103"/>
      <c r="J3" s="1040" t="s">
        <v>464</v>
      </c>
      <c r="K3" s="1040"/>
      <c r="L3" s="1100">
        <f>+'Note 1'!E3</f>
        <v>45657</v>
      </c>
      <c r="M3" s="1101"/>
    </row>
    <row r="4" spans="1:13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 t="str">
        <f>'Fiche de renseignement R1'!$J$4</f>
        <v>Africa cold 2</v>
      </c>
      <c r="C3" s="1103"/>
      <c r="D3" s="1103"/>
      <c r="F3" s="1290" t="s">
        <v>464</v>
      </c>
      <c r="G3" s="1290"/>
      <c r="H3" s="1100">
        <f>+'Note 1'!E3</f>
        <v>45657</v>
      </c>
      <c r="I3" s="1101"/>
    </row>
    <row r="4" spans="1:9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 t="str">
        <f>'Fiche de renseignement R1'!$J$4</f>
        <v>Africa cold 2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 t="str">
        <f>+'Note 1'!B4</f>
        <v>Identifiant-123-4fr2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2024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45657</v>
      </c>
      <c r="D3" s="1311"/>
    </row>
    <row r="4" spans="1:4" s="150" customFormat="1" ht="22.2" customHeight="1">
      <c r="A4" s="854" t="str">
        <f>'Fiche de renseignement R1'!$J$4</f>
        <v>Africa cold 2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 t="str">
        <f>+'Note 1'!B4</f>
        <v>Identifiant-123-4fr2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49b75c-0674-47c1-a4f4-cb62f78ec815}">
  <dimension ref="A5"/>
  <sheetViews>
    <sheetView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79a214-606e-4274-b00b-2b7a102eedda}">
  <dimension ref="A5"/>
  <sheetViews>
    <sheetView tabSelected="1" workbookViewId="0" topLeftCell="A1"/>
  </sheetViews>
  <sheetFormatPr defaultRowHeight="12.75"/>
  <sheetData>
    <row r="5" spans="1:1" ht="23.25" customHeight="1">
      <c r="A5" s="1321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