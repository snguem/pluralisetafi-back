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7D311E82-0903-4BD4-8726-6DD2E1FCA133}" xr6:coauthVersionLast="47" xr6:coauthVersionMax="47" xr10:uidLastSave="{00000000-0000-0000-0000-000000000000}"/>
  <bookViews>
    <workbookView xWindow="-108" yWindow="-108" windowWidth="23256" windowHeight="12456" tabRatio="903" firstSheet="7" activeTab="9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<sst xmlns="http://schemas.openxmlformats.org/spreadsheetml/2006/main" count="4609" uniqueCount="1779">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</sst>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5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44" customWidth="1"/>
    <col min="2" max="2" width="4.44140625" style="1543" customWidth="1"/>
    <col min="3" max="3" width="2.33203125" style="1543" customWidth="1"/>
    <col min="4" max="8" width="3.44140625" style="1543" customWidth="1"/>
    <col min="9" max="9" width="11.33203125" style="1543" customWidth="1"/>
    <col min="10" max="20" width="3.44140625" style="1543" customWidth="1"/>
    <col min="21" max="21" width="4.109375" style="1543" customWidth="1"/>
    <col min="22" max="25" width="3.44140625" style="1543" customWidth="1"/>
    <col min="26" max="26" width="4.6640625" style="1543" customWidth="1"/>
    <col min="27" max="30" width="3.44140625" style="1543" customWidth="1"/>
    <col min="31" max="31" width="1.6640625" style="1543" customWidth="1"/>
    <col min="32" max="32" width="3.44140625" style="1543" customWidth="1"/>
    <col min="33" max="33" width="4.44140625" style="1543" customWidth="1"/>
    <col min="34" max="37" width="3.44140625" style="1543" customWidth="1"/>
    <col min="38" max="38" width="3.6640625" style="1543" customWidth="1"/>
    <col min="39" max="39" width="3.44140625" style="1543" customWidth="1"/>
    <col min="40" max="40" width="3.33203125" style="1543" customWidth="1"/>
    <col min="41" max="257" width="15.6640625" style="1543" customWidth="1"/>
    <col min="258" max="16384" width="15.6640625" style="154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45"/>
      <c r="B3" s="1546"/>
      <c r="C3" s="1546"/>
      <c r="D3" s="1546"/>
      <c r="E3" s="1546"/>
      <c r="F3" s="1546"/>
      <c r="G3" s="1546"/>
      <c r="H3" s="1546"/>
      <c r="I3" s="1546"/>
      <c r="J3" s="1546"/>
      <c r="K3" s="1546"/>
      <c r="L3" s="1546"/>
      <c r="M3" s="1546"/>
      <c r="N3" s="1546"/>
      <c r="O3" s="1546"/>
      <c r="P3" s="1546"/>
      <c r="Q3" s="1546"/>
      <c r="R3" s="1546"/>
      <c r="S3" s="1546"/>
      <c r="T3" s="1546"/>
      <c r="U3" s="1546"/>
      <c r="V3" s="1546"/>
      <c r="W3" s="1546"/>
      <c r="X3" s="1546"/>
      <c r="Y3" s="1546"/>
      <c r="Z3" s="1546"/>
      <c r="AA3" s="1546"/>
      <c r="AB3" s="1546"/>
      <c r="AC3" s="1546"/>
      <c r="AD3" s="1546"/>
      <c r="AE3" s="1546"/>
      <c r="AF3" s="1546"/>
      <c r="AG3" s="1546"/>
      <c r="AH3" s="1546"/>
      <c r="AI3" s="1546"/>
      <c r="AJ3" s="1546"/>
      <c r="AK3" s="1546"/>
      <c r="AL3" s="1546"/>
      <c r="AM3" s="1546"/>
      <c r="AN3" s="1547"/>
    </row>
    <row r="4" spans="1:257" ht="12.75" customHeight="1" x14ac:dyDescent="0.25">
      <c r="A4" s="1545"/>
      <c r="B4" s="1548"/>
      <c r="C4" s="1548"/>
      <c r="D4" s="1548"/>
      <c r="E4" s="1548"/>
      <c r="F4" s="1548"/>
      <c r="G4" s="1548"/>
      <c r="H4" s="1548"/>
      <c r="I4" s="1549" t="s">
        <v>1299</v>
      </c>
      <c r="J4" s="1550" t="str">
        <f>+'Page de garde'!L35</f>
        <v>AFRICACOLD SARL</v>
      </c>
      <c r="K4" s="1550"/>
      <c r="L4" s="1550"/>
      <c r="M4" s="1550"/>
      <c r="N4" s="1550"/>
      <c r="O4" s="1550"/>
      <c r="P4" s="1550"/>
      <c r="Q4" s="1550"/>
      <c r="R4" s="1550"/>
      <c r="S4" s="1550"/>
      <c r="T4" s="1550"/>
      <c r="U4" s="1550"/>
      <c r="V4" s="1550"/>
      <c r="W4" s="1550"/>
      <c r="X4" s="1550"/>
      <c r="Y4" s="1550"/>
      <c r="Z4" s="1550"/>
      <c r="AA4" s="1550"/>
      <c r="AB4" s="1550"/>
      <c r="AC4" s="1550"/>
      <c r="AD4" s="1550"/>
      <c r="AE4" s="1550"/>
      <c r="AF4" s="1550"/>
      <c r="AG4" s="1550"/>
      <c r="AH4" s="1550"/>
      <c r="AI4" s="1550"/>
      <c r="AJ4" s="1550"/>
      <c r="AK4" s="1550"/>
      <c r="AL4" s="1550"/>
      <c r="AM4" s="1550"/>
      <c r="AN4" s="1551"/>
    </row>
    <row r="5" spans="1:257" ht="8.1" customHeight="1" x14ac:dyDescent="0.25">
      <c r="A5" s="1545"/>
      <c r="B5" s="1548"/>
      <c r="C5" s="1548"/>
      <c r="D5" s="1548"/>
      <c r="E5" s="1548"/>
      <c r="F5" s="1548"/>
      <c r="G5" s="1548"/>
      <c r="H5" s="1548"/>
      <c r="I5" s="1552"/>
      <c r="J5" s="1553"/>
      <c r="K5" s="1554"/>
      <c r="L5" s="1555"/>
      <c r="M5" s="1555"/>
      <c r="N5" s="1555"/>
      <c r="O5" s="1556"/>
      <c r="P5" s="1556"/>
      <c r="Q5" s="1556"/>
      <c r="R5" s="1556"/>
      <c r="S5" s="1556"/>
      <c r="T5" s="1556"/>
      <c r="U5" s="1556"/>
      <c r="V5" s="1556"/>
      <c r="W5" s="1556"/>
      <c r="X5" s="1556"/>
      <c r="Y5" s="1556"/>
      <c r="Z5" s="1556"/>
      <c r="AA5" s="1556"/>
      <c r="AB5" s="1556"/>
      <c r="AC5" s="1556"/>
      <c r="AD5" s="1556"/>
      <c r="AE5" s="1556"/>
      <c r="AF5" s="1556"/>
      <c r="AG5" s="1556"/>
      <c r="AH5" s="1556"/>
      <c r="AI5" s="1556"/>
      <c r="AJ5" s="1556"/>
      <c r="AK5" s="1556"/>
      <c r="AL5" s="1556"/>
      <c r="AM5" s="1556"/>
      <c r="AN5" s="1551"/>
    </row>
    <row r="6" spans="1:257" ht="8.1" customHeight="1" x14ac:dyDescent="0.25">
      <c r="A6" s="1545"/>
      <c r="B6" s="1548"/>
      <c r="C6" s="1548"/>
      <c r="D6" s="1548"/>
      <c r="E6" s="1548"/>
      <c r="F6" s="1548"/>
      <c r="G6" s="1548"/>
      <c r="H6" s="1548"/>
      <c r="I6" s="1552"/>
      <c r="J6" s="1557"/>
      <c r="K6" s="1558"/>
      <c r="L6" s="1559"/>
      <c r="M6" s="1559"/>
      <c r="N6" s="1559"/>
      <c r="O6" s="1560"/>
      <c r="P6" s="1560"/>
      <c r="Q6" s="1560"/>
      <c r="R6" s="1560"/>
      <c r="S6" s="1560"/>
      <c r="T6" s="1560"/>
      <c r="U6" s="1560"/>
      <c r="V6" s="1560"/>
      <c r="W6" s="1560"/>
      <c r="X6" s="1560"/>
      <c r="Y6" s="1560"/>
      <c r="Z6" s="1561"/>
      <c r="AA6" s="1561"/>
      <c r="AB6" s="1561"/>
      <c r="AC6" s="1561"/>
      <c r="AD6" s="1560"/>
      <c r="AE6" s="1560"/>
      <c r="AF6" s="1560"/>
      <c r="AG6" s="1560"/>
      <c r="AH6" s="1560"/>
      <c r="AI6" s="1560"/>
      <c r="AJ6" s="1560"/>
      <c r="AK6" s="1560"/>
      <c r="AL6" s="1560"/>
      <c r="AM6" s="1560"/>
      <c r="AN6" s="1551"/>
    </row>
    <row r="7" spans="1:257" ht="12.75" customHeight="1" x14ac:dyDescent="0.25">
      <c r="A7" s="1545"/>
      <c r="B7" s="1548"/>
      <c r="C7" s="1548"/>
      <c r="D7" s="1548"/>
      <c r="E7" s="1548"/>
      <c r="F7" s="1548"/>
      <c r="G7" s="1548"/>
      <c r="H7" s="1548"/>
      <c r="I7" s="1549" t="s">
        <v>22</v>
      </c>
      <c r="J7" s="1550" t="str">
        <f>'Page de garde'!J46</f>
        <v>DIAMNIADIO  DOUGAR  EXTENSION</v>
      </c>
      <c r="K7" s="1562"/>
      <c r="L7" s="1562"/>
      <c r="M7" s="1562"/>
      <c r="N7" s="1562"/>
      <c r="O7" s="1562"/>
      <c r="P7" s="1562"/>
      <c r="Q7" s="1562"/>
      <c r="R7" s="1562"/>
      <c r="S7" s="1562"/>
      <c r="T7" s="1562"/>
      <c r="U7" s="1562"/>
      <c r="V7" s="1562"/>
      <c r="W7" s="1562"/>
      <c r="X7" s="1562"/>
      <c r="Y7" s="1562"/>
      <c r="Z7" s="1548"/>
      <c r="AA7" s="1548"/>
      <c r="AB7" s="1548"/>
      <c r="AC7" s="1549" t="s">
        <v>23</v>
      </c>
      <c r="AD7" s="1550" t="str">
        <f>+'Page de garde'!H41</f>
        <v xml:space="preserve"> AFRICACOLD SARL</v>
      </c>
      <c r="AE7" s="1562"/>
      <c r="AF7" s="1562"/>
      <c r="AG7" s="1562"/>
      <c r="AH7" s="1562"/>
      <c r="AI7" s="1562"/>
      <c r="AJ7" s="1562"/>
      <c r="AK7" s="1562"/>
      <c r="AL7" s="1562"/>
      <c r="AM7" s="1562"/>
      <c r="AN7" s="1551"/>
    </row>
    <row r="8" spans="1:257" ht="8.1" customHeight="1" x14ac:dyDescent="0.25">
      <c r="A8" s="1545"/>
      <c r="B8" s="1548"/>
      <c r="C8" s="1548"/>
      <c r="D8" s="1548"/>
      <c r="E8" s="1548"/>
      <c r="F8" s="1548"/>
      <c r="G8" s="1548"/>
      <c r="H8" s="1548"/>
      <c r="I8" s="1552"/>
      <c r="J8" s="1553"/>
      <c r="K8" s="1553"/>
      <c r="L8" s="1563"/>
      <c r="M8" s="1554"/>
      <c r="N8" s="1554"/>
      <c r="O8" s="1556"/>
      <c r="P8" s="1556"/>
      <c r="Q8" s="1556"/>
      <c r="R8" s="1556"/>
      <c r="S8" s="1556"/>
      <c r="T8" s="1556"/>
      <c r="U8" s="1556"/>
      <c r="V8" s="1556"/>
      <c r="W8" s="1556"/>
      <c r="X8" s="1556"/>
      <c r="Y8" s="1556"/>
      <c r="Z8" s="1548"/>
      <c r="AA8" s="1548"/>
      <c r="AB8" s="1548"/>
      <c r="AC8" s="1548"/>
      <c r="AD8" s="1556"/>
      <c r="AE8" s="1556"/>
      <c r="AF8" s="1556"/>
      <c r="AG8" s="1556"/>
      <c r="AH8" s="1556"/>
      <c r="AI8" s="1556"/>
      <c r="AJ8" s="1556"/>
      <c r="AK8" s="1556"/>
      <c r="AL8" s="1556"/>
      <c r="AM8" s="1556"/>
      <c r="AN8" s="1551"/>
    </row>
    <row r="9" spans="1:257" ht="8.1" customHeight="1" x14ac:dyDescent="0.25">
      <c r="A9" s="1545"/>
      <c r="B9" s="1548"/>
      <c r="C9" s="1548"/>
      <c r="D9" s="1548"/>
      <c r="E9" s="1548"/>
      <c r="F9" s="1548"/>
      <c r="G9" s="1548"/>
      <c r="H9" s="1548"/>
      <c r="I9" s="1552"/>
      <c r="J9" s="1557"/>
      <c r="K9" s="1557"/>
      <c r="L9" s="1564"/>
      <c r="M9" s="1558"/>
      <c r="N9" s="1558"/>
      <c r="O9" s="1560"/>
      <c r="P9" s="1560"/>
      <c r="Q9" s="1561"/>
      <c r="R9" s="1561"/>
      <c r="S9" s="1561"/>
      <c r="T9" s="1561"/>
      <c r="U9" s="1561"/>
      <c r="V9" s="1560"/>
      <c r="W9" s="1560"/>
      <c r="X9" s="1560"/>
      <c r="Y9" s="1560"/>
      <c r="Z9" s="1565"/>
      <c r="AA9" s="1565"/>
      <c r="AB9" s="1565"/>
      <c r="AC9" s="1548"/>
      <c r="AD9" s="1561"/>
      <c r="AE9" s="1561"/>
      <c r="AF9" s="1561"/>
      <c r="AG9" s="1561"/>
      <c r="AH9" s="1560"/>
      <c r="AI9" s="1560"/>
      <c r="AJ9" s="1560"/>
      <c r="AK9" s="1560"/>
      <c r="AL9" s="1560"/>
      <c r="AM9" s="1560"/>
      <c r="AN9" s="1551"/>
    </row>
    <row r="10" spans="1:257" ht="12.75" customHeight="1" x14ac:dyDescent="0.25">
      <c r="A10" s="1545"/>
      <c r="B10" s="1548"/>
      <c r="C10" s="1548"/>
      <c r="D10" s="1548"/>
      <c r="E10" s="1548"/>
      <c r="F10" s="1548"/>
      <c r="G10" s="1548"/>
      <c r="H10" s="1548"/>
      <c r="I10" s="1549" t="s">
        <v>99</v>
      </c>
      <c r="J10" s="1566" t="str">
        <f>'Page de garde'!N51</f>
        <v>04395621 2E2</v>
      </c>
      <c r="K10" s="1562"/>
      <c r="L10" s="1562"/>
      <c r="M10" s="1562"/>
      <c r="N10" s="1562"/>
      <c r="O10" s="1562"/>
      <c r="P10" s="1562"/>
      <c r="Q10" s="1548"/>
      <c r="R10" s="1548"/>
      <c r="S10" s="1548"/>
      <c r="T10" s="1548"/>
      <c r="U10" s="1549" t="s">
        <v>24</v>
      </c>
      <c r="V10" s="1567">
        <f>+'Page de garde'!M27</f>
        <v>46022</v>
      </c>
      <c r="W10" s="1562"/>
      <c r="X10" s="1562"/>
      <c r="Y10" s="1562"/>
      <c r="Z10" s="1562"/>
      <c r="AA10" s="1562"/>
      <c r="AB10" s="1562"/>
      <c r="AC10" s="1548"/>
      <c r="AD10" s="1548"/>
      <c r="AE10" s="1548"/>
      <c r="AF10" s="1548"/>
      <c r="AG10" s="1549" t="s">
        <v>25</v>
      </c>
      <c r="AH10" s="1550">
        <v>12</v>
      </c>
      <c r="AI10" s="1562"/>
      <c r="AJ10" s="1562"/>
      <c r="AK10" s="1562"/>
      <c r="AL10" s="1562"/>
      <c r="AM10" s="1562"/>
      <c r="AN10" s="1551"/>
    </row>
    <row r="11" spans="1:257" ht="8.1" customHeight="1" x14ac:dyDescent="0.25">
      <c r="A11" s="1545"/>
      <c r="B11" s="1565"/>
      <c r="C11" s="1565"/>
      <c r="D11" s="1565"/>
      <c r="E11" s="1565"/>
      <c r="F11" s="1565"/>
      <c r="G11" s="1565"/>
      <c r="H11" s="1565"/>
      <c r="I11" s="1568"/>
      <c r="J11" s="1569"/>
      <c r="K11" s="1570"/>
      <c r="L11" s="1571"/>
      <c r="M11" s="1571"/>
      <c r="N11" s="1571"/>
      <c r="O11" s="1569"/>
      <c r="P11" s="1569"/>
      <c r="Q11" s="1565"/>
      <c r="R11" s="1565"/>
      <c r="S11" s="1565"/>
      <c r="T11" s="1565"/>
      <c r="U11" s="1565"/>
      <c r="V11" s="1569"/>
      <c r="W11" s="1569"/>
      <c r="X11" s="1569"/>
      <c r="Y11" s="1569"/>
      <c r="Z11" s="1569"/>
      <c r="AA11" s="1569"/>
      <c r="AB11" s="1569"/>
      <c r="AC11" s="1565"/>
      <c r="AD11" s="1565"/>
      <c r="AE11" s="1565"/>
      <c r="AF11" s="1565"/>
      <c r="AG11" s="1565"/>
      <c r="AH11" s="1569"/>
      <c r="AI11" s="1569"/>
      <c r="AJ11" s="1569"/>
      <c r="AK11" s="1569"/>
      <c r="AL11" s="1569"/>
      <c r="AM11" s="1569"/>
      <c r="AN11" s="1572"/>
    </row>
    <row r="12" spans="1:257" s="1580" customFormat="1" ht="8.1" customHeight="1" x14ac:dyDescent="0.25">
      <c r="A12" s="1545"/>
      <c r="B12" s="1573"/>
      <c r="C12" s="1574"/>
      <c r="D12" s="1574"/>
      <c r="E12" s="1574"/>
      <c r="F12" s="1574"/>
      <c r="G12" s="1574"/>
      <c r="H12" s="1574"/>
      <c r="I12" s="1575"/>
      <c r="J12" s="1574"/>
      <c r="K12" s="1576"/>
      <c r="L12" s="1577"/>
      <c r="M12" s="1577"/>
      <c r="N12" s="1577"/>
      <c r="O12" s="1574"/>
      <c r="P12" s="1574"/>
      <c r="Q12" s="1574"/>
      <c r="R12" s="1574"/>
      <c r="S12" s="1574"/>
      <c r="T12" s="1574"/>
      <c r="U12" s="1574"/>
      <c r="V12" s="1574"/>
      <c r="W12" s="1574"/>
      <c r="X12" s="1574"/>
      <c r="Y12" s="1578"/>
      <c r="Z12" s="1578"/>
      <c r="AA12" s="1578"/>
      <c r="AB12" s="1578"/>
      <c r="AC12" s="1578"/>
      <c r="AD12" s="1578"/>
      <c r="AE12" s="1574"/>
      <c r="AF12" s="1574"/>
      <c r="AG12" s="1574"/>
      <c r="AH12" s="1578"/>
      <c r="AI12" s="1578"/>
      <c r="AJ12" s="1578"/>
      <c r="AK12" s="1578"/>
      <c r="AL12" s="1578"/>
      <c r="AM12" s="1578"/>
      <c r="AN12" s="1579"/>
      <c r="AO12" s="1546"/>
      <c r="AP12" s="1546"/>
      <c r="AQ12" s="1546"/>
      <c r="AR12" s="1546"/>
      <c r="AS12" s="1546"/>
      <c r="AT12" s="1546"/>
      <c r="AU12" s="1546"/>
      <c r="AV12" s="1546"/>
      <c r="AW12" s="1546"/>
      <c r="AX12" s="1546"/>
      <c r="AY12" s="1546"/>
      <c r="AZ12" s="1546"/>
      <c r="BA12" s="1546"/>
      <c r="BB12" s="1546"/>
      <c r="BC12" s="1546"/>
      <c r="BD12" s="1546"/>
      <c r="BE12" s="1546"/>
      <c r="BF12" s="1546"/>
      <c r="BG12" s="1546"/>
      <c r="BH12" s="1546"/>
      <c r="BI12" s="1546"/>
      <c r="BJ12" s="1546"/>
      <c r="BK12" s="1546"/>
      <c r="BL12" s="1546"/>
      <c r="BM12" s="1546"/>
      <c r="BN12" s="1546"/>
      <c r="BO12" s="1546"/>
      <c r="BP12" s="1546"/>
      <c r="BQ12" s="1546"/>
      <c r="BR12" s="1546"/>
      <c r="BS12" s="1546"/>
      <c r="BT12" s="1546"/>
      <c r="BU12" s="1546"/>
      <c r="BV12" s="1546"/>
      <c r="BW12" s="1546"/>
      <c r="BX12" s="1546"/>
      <c r="BY12" s="1546"/>
      <c r="BZ12" s="1546"/>
      <c r="CA12" s="1546"/>
      <c r="CB12" s="1546"/>
      <c r="CC12" s="1546"/>
      <c r="CD12" s="1546"/>
      <c r="CE12" s="1546"/>
      <c r="CF12" s="1546"/>
      <c r="CG12" s="1546"/>
      <c r="CH12" s="1546"/>
      <c r="CI12" s="1546"/>
      <c r="CJ12" s="1546"/>
      <c r="CK12" s="1546"/>
      <c r="CL12" s="1546"/>
      <c r="CM12" s="1546"/>
      <c r="CN12" s="1546"/>
      <c r="CO12" s="1546"/>
      <c r="CP12" s="1546"/>
      <c r="CQ12" s="1546"/>
      <c r="CR12" s="1546"/>
      <c r="CS12" s="1546"/>
      <c r="CT12" s="1546"/>
      <c r="CU12" s="1546"/>
      <c r="CV12" s="1546"/>
      <c r="CW12" s="1546"/>
      <c r="CX12" s="1546"/>
      <c r="CY12" s="1546"/>
      <c r="CZ12" s="1546"/>
      <c r="DA12" s="1546"/>
      <c r="DB12" s="1546"/>
      <c r="DC12" s="1546"/>
      <c r="DD12" s="1546"/>
      <c r="DE12" s="1546"/>
      <c r="DF12" s="1546"/>
      <c r="DG12" s="1546"/>
      <c r="DH12" s="1546"/>
      <c r="DI12" s="1546"/>
      <c r="DJ12" s="1546"/>
      <c r="DK12" s="1546"/>
      <c r="DL12" s="1546"/>
      <c r="DM12" s="1546"/>
      <c r="DN12" s="1546"/>
      <c r="DO12" s="1546"/>
      <c r="DP12" s="1546"/>
      <c r="DQ12" s="1546"/>
      <c r="DR12" s="1546"/>
      <c r="DS12" s="1546"/>
      <c r="DT12" s="1546"/>
      <c r="DU12" s="1546"/>
      <c r="DV12" s="1546"/>
      <c r="DW12" s="1546"/>
      <c r="DX12" s="1546"/>
      <c r="DY12" s="1546"/>
      <c r="DZ12" s="1546"/>
      <c r="EA12" s="1546"/>
      <c r="EB12" s="1546"/>
      <c r="EC12" s="1546"/>
      <c r="ED12" s="1546"/>
      <c r="EE12" s="1546"/>
      <c r="EF12" s="1546"/>
      <c r="EG12" s="1546"/>
      <c r="EH12" s="1546"/>
      <c r="EI12" s="1546"/>
      <c r="EJ12" s="1546"/>
      <c r="EK12" s="1546"/>
      <c r="EL12" s="1546"/>
      <c r="EM12" s="1546"/>
      <c r="EN12" s="1546"/>
      <c r="EO12" s="1546"/>
      <c r="EP12" s="1546"/>
      <c r="EQ12" s="1546"/>
      <c r="ER12" s="1546"/>
      <c r="ES12" s="1546"/>
      <c r="ET12" s="1546"/>
      <c r="EU12" s="1546"/>
      <c r="EV12" s="1546"/>
      <c r="EW12" s="1546"/>
      <c r="EX12" s="1546"/>
      <c r="EY12" s="1546"/>
      <c r="EZ12" s="1546"/>
      <c r="FA12" s="1546"/>
      <c r="FB12" s="1546"/>
      <c r="FC12" s="1546"/>
      <c r="FD12" s="1546"/>
      <c r="FE12" s="1546"/>
      <c r="FF12" s="1546"/>
      <c r="FG12" s="1546"/>
      <c r="FH12" s="1546"/>
      <c r="FI12" s="1546"/>
      <c r="FJ12" s="1546"/>
      <c r="FK12" s="1546"/>
      <c r="FL12" s="1546"/>
      <c r="FM12" s="1546"/>
      <c r="FN12" s="1546"/>
      <c r="FO12" s="1546"/>
      <c r="FP12" s="1546"/>
      <c r="FQ12" s="1546"/>
      <c r="FR12" s="1546"/>
      <c r="FS12" s="1546"/>
      <c r="FT12" s="1546"/>
      <c r="FU12" s="1546"/>
      <c r="FV12" s="1546"/>
      <c r="FW12" s="1546"/>
      <c r="FX12" s="1546"/>
      <c r="FY12" s="1546"/>
      <c r="FZ12" s="1546"/>
      <c r="GA12" s="1546"/>
      <c r="GB12" s="1546"/>
      <c r="GC12" s="1546"/>
      <c r="GD12" s="1546"/>
      <c r="GE12" s="1546"/>
      <c r="GF12" s="1546"/>
      <c r="GG12" s="1546"/>
      <c r="GH12" s="1546"/>
      <c r="GI12" s="1546"/>
      <c r="GJ12" s="1546"/>
      <c r="GK12" s="1546"/>
      <c r="GL12" s="1546"/>
      <c r="GM12" s="1546"/>
      <c r="GN12" s="1546"/>
      <c r="GO12" s="1546"/>
      <c r="GP12" s="1546"/>
      <c r="GQ12" s="1546"/>
      <c r="GR12" s="1546"/>
      <c r="GS12" s="1546"/>
      <c r="GT12" s="1546"/>
      <c r="GU12" s="1546"/>
      <c r="GV12" s="1546"/>
      <c r="GW12" s="1546"/>
      <c r="GX12" s="1546"/>
      <c r="GY12" s="1546"/>
      <c r="GZ12" s="1546"/>
      <c r="HA12" s="1546"/>
      <c r="HB12" s="1546"/>
      <c r="HC12" s="1546"/>
      <c r="HD12" s="1546"/>
      <c r="HE12" s="1546"/>
      <c r="HF12" s="1546"/>
      <c r="HG12" s="1546"/>
      <c r="HH12" s="1546"/>
      <c r="HI12" s="1546"/>
      <c r="HJ12" s="1546"/>
      <c r="HK12" s="1546"/>
      <c r="HL12" s="1546"/>
      <c r="HM12" s="1546"/>
      <c r="HN12" s="1546"/>
      <c r="HO12" s="1546"/>
      <c r="HP12" s="1546"/>
      <c r="HQ12" s="1546"/>
      <c r="HR12" s="1546"/>
      <c r="HS12" s="1546"/>
      <c r="HT12" s="1546"/>
      <c r="HU12" s="1546"/>
      <c r="HV12" s="1546"/>
      <c r="HW12" s="1546"/>
      <c r="HX12" s="1546"/>
      <c r="HY12" s="1546"/>
      <c r="HZ12" s="1546"/>
      <c r="IA12" s="1546"/>
      <c r="IB12" s="1546"/>
      <c r="IC12" s="1546"/>
      <c r="ID12" s="1546"/>
      <c r="IE12" s="1546"/>
      <c r="IF12" s="1546"/>
      <c r="IG12" s="1546"/>
      <c r="IH12" s="1546"/>
      <c r="II12" s="1546"/>
      <c r="IJ12" s="1546"/>
      <c r="IK12" s="1546"/>
      <c r="IL12" s="1546"/>
      <c r="IM12" s="1546"/>
      <c r="IN12" s="1546"/>
      <c r="IO12" s="1546"/>
      <c r="IP12" s="1546"/>
      <c r="IQ12" s="1546"/>
      <c r="IR12" s="1546"/>
      <c r="IS12" s="1546"/>
      <c r="IT12" s="1546"/>
      <c r="IU12" s="1546"/>
      <c r="IV12" s="1546"/>
      <c r="IW12" s="1546"/>
    </row>
    <row r="13" spans="1:257" ht="12.75" customHeight="1" x14ac:dyDescent="0.25">
      <c r="A13" s="1545"/>
      <c r="B13" s="1581" t="s">
        <v>26</v>
      </c>
      <c r="C13" s="1582"/>
      <c r="D13" s="1548"/>
      <c r="E13" s="1583" t="s">
        <v>27</v>
      </c>
      <c r="F13" s="1548"/>
      <c r="G13" s="1548"/>
      <c r="H13" s="1548"/>
      <c r="I13" s="1548"/>
      <c r="J13" s="1548"/>
      <c r="K13" s="1548"/>
      <c r="L13" s="1548"/>
      <c r="M13" s="1548"/>
      <c r="N13" s="1548"/>
      <c r="O13" s="1548"/>
      <c r="P13" s="1548"/>
      <c r="Q13" s="1548"/>
      <c r="R13" s="1548"/>
      <c r="S13" s="1548"/>
      <c r="T13" s="1548"/>
      <c r="U13" s="1548"/>
      <c r="V13" s="1548"/>
      <c r="W13" s="1584" t="s">
        <v>28</v>
      </c>
      <c r="X13" s="1548"/>
      <c r="Y13" s="1567">
        <v>45658</v>
      </c>
      <c r="Z13" s="1567"/>
      <c r="AA13" s="1567"/>
      <c r="AB13" s="1567"/>
      <c r="AC13" s="1567"/>
      <c r="AD13" s="1567"/>
      <c r="AE13" s="1548"/>
      <c r="AF13" s="1584" t="s">
        <v>29</v>
      </c>
      <c r="AG13" s="1548"/>
      <c r="AH13" s="1567">
        <v>46022</v>
      </c>
      <c r="AI13" s="1562"/>
      <c r="AJ13" s="1562"/>
      <c r="AK13" s="1562"/>
      <c r="AL13" s="1562"/>
      <c r="AM13" s="1562"/>
      <c r="AN13" s="1551"/>
    </row>
    <row r="14" spans="1:257" ht="8.1" customHeight="1" x14ac:dyDescent="0.25">
      <c r="A14" s="1545"/>
      <c r="B14" s="1585"/>
      <c r="C14" s="1565"/>
      <c r="D14" s="1565"/>
      <c r="E14" s="1565"/>
      <c r="F14" s="1565"/>
      <c r="G14" s="1565"/>
      <c r="H14" s="1565"/>
      <c r="I14" s="1565"/>
      <c r="J14" s="1565"/>
      <c r="K14" s="1565"/>
      <c r="L14" s="1565"/>
      <c r="M14" s="1565"/>
      <c r="N14" s="1565"/>
      <c r="O14" s="1565"/>
      <c r="P14" s="1565"/>
      <c r="Q14" s="1565"/>
      <c r="R14" s="1565"/>
      <c r="S14" s="1565"/>
      <c r="T14" s="1565"/>
      <c r="U14" s="1565"/>
      <c r="V14" s="1565"/>
      <c r="W14" s="1565"/>
      <c r="X14" s="1565"/>
      <c r="Y14" s="1569"/>
      <c r="Z14" s="1569"/>
      <c r="AA14" s="1569"/>
      <c r="AB14" s="1569"/>
      <c r="AC14" s="1569"/>
      <c r="AD14" s="1569"/>
      <c r="AE14" s="1565"/>
      <c r="AF14" s="1565"/>
      <c r="AG14" s="1565"/>
      <c r="AH14" s="1569"/>
      <c r="AI14" s="1569"/>
      <c r="AJ14" s="1569"/>
      <c r="AK14" s="1569"/>
      <c r="AL14" s="1569"/>
      <c r="AM14" s="1569"/>
      <c r="AN14" s="1572"/>
    </row>
    <row r="15" spans="1:257" s="1580" customFormat="1" ht="8.1" customHeight="1" x14ac:dyDescent="0.25">
      <c r="A15" s="1545"/>
      <c r="B15" s="1573"/>
      <c r="C15" s="1574"/>
      <c r="D15" s="1574"/>
      <c r="E15" s="1574"/>
      <c r="F15" s="1574"/>
      <c r="G15" s="1574"/>
      <c r="H15" s="1574"/>
      <c r="I15" s="1574"/>
      <c r="J15" s="1574"/>
      <c r="K15" s="1574"/>
      <c r="L15" s="1574"/>
      <c r="M15" s="1574"/>
      <c r="N15" s="1574"/>
      <c r="O15" s="1574"/>
      <c r="P15" s="1574"/>
      <c r="Q15" s="1574"/>
      <c r="R15" s="1574"/>
      <c r="S15" s="1574"/>
      <c r="T15" s="1574"/>
      <c r="U15" s="1578"/>
      <c r="V15" s="1578"/>
      <c r="W15" s="1578"/>
      <c r="X15" s="1578"/>
      <c r="Y15" s="1578"/>
      <c r="Z15" s="1578"/>
      <c r="AA15" s="1574"/>
      <c r="AB15" s="1574"/>
      <c r="AC15" s="1574"/>
      <c r="AD15" s="1574"/>
      <c r="AE15" s="1574"/>
      <c r="AF15" s="1574"/>
      <c r="AG15" s="1574"/>
      <c r="AH15" s="1574"/>
      <c r="AI15" s="1574"/>
      <c r="AJ15" s="1574"/>
      <c r="AK15" s="1574"/>
      <c r="AL15" s="1574"/>
      <c r="AM15" s="1574"/>
      <c r="AN15" s="1579"/>
      <c r="AO15" s="1546"/>
      <c r="AP15" s="1546"/>
      <c r="AQ15" s="1546"/>
      <c r="AR15" s="1546"/>
      <c r="AS15" s="1546"/>
      <c r="AT15" s="1546"/>
      <c r="AU15" s="1546"/>
      <c r="AV15" s="1546"/>
      <c r="AW15" s="1546"/>
      <c r="AX15" s="1546"/>
      <c r="AY15" s="1546"/>
      <c r="AZ15" s="1546"/>
      <c r="BA15" s="1546"/>
      <c r="BB15" s="1546"/>
      <c r="BC15" s="1546"/>
      <c r="BD15" s="1546"/>
      <c r="BE15" s="1546"/>
      <c r="BF15" s="1546"/>
      <c r="BG15" s="1546"/>
      <c r="BH15" s="1546"/>
      <c r="BI15" s="1546"/>
      <c r="BJ15" s="1546"/>
      <c r="BK15" s="1546"/>
      <c r="BL15" s="1546"/>
      <c r="BM15" s="1546"/>
      <c r="BN15" s="1546"/>
      <c r="BO15" s="1546"/>
      <c r="BP15" s="1546"/>
      <c r="BQ15" s="1546"/>
      <c r="BR15" s="1546"/>
      <c r="BS15" s="1546"/>
      <c r="BT15" s="1546"/>
      <c r="BU15" s="1546"/>
      <c r="BV15" s="1546"/>
      <c r="BW15" s="1546"/>
      <c r="BX15" s="1546"/>
      <c r="BY15" s="1546"/>
      <c r="BZ15" s="1546"/>
      <c r="CA15" s="1546"/>
      <c r="CB15" s="1546"/>
      <c r="CC15" s="1546"/>
      <c r="CD15" s="1546"/>
      <c r="CE15" s="1546"/>
      <c r="CF15" s="1546"/>
      <c r="CG15" s="1546"/>
      <c r="CH15" s="1546"/>
      <c r="CI15" s="1546"/>
      <c r="CJ15" s="1546"/>
      <c r="CK15" s="1546"/>
      <c r="CL15" s="1546"/>
      <c r="CM15" s="1546"/>
      <c r="CN15" s="1546"/>
      <c r="CO15" s="1546"/>
      <c r="CP15" s="1546"/>
      <c r="CQ15" s="1546"/>
      <c r="CR15" s="1546"/>
      <c r="CS15" s="1546"/>
      <c r="CT15" s="1546"/>
      <c r="CU15" s="1546"/>
      <c r="CV15" s="1546"/>
      <c r="CW15" s="1546"/>
      <c r="CX15" s="1546"/>
      <c r="CY15" s="1546"/>
      <c r="CZ15" s="1546"/>
      <c r="DA15" s="1546"/>
      <c r="DB15" s="1546"/>
      <c r="DC15" s="1546"/>
      <c r="DD15" s="1546"/>
      <c r="DE15" s="1546"/>
      <c r="DF15" s="1546"/>
      <c r="DG15" s="1546"/>
      <c r="DH15" s="1546"/>
      <c r="DI15" s="1546"/>
      <c r="DJ15" s="1546"/>
      <c r="DK15" s="1546"/>
      <c r="DL15" s="1546"/>
      <c r="DM15" s="1546"/>
      <c r="DN15" s="1546"/>
      <c r="DO15" s="1546"/>
      <c r="DP15" s="1546"/>
      <c r="DQ15" s="1546"/>
      <c r="DR15" s="1546"/>
      <c r="DS15" s="1546"/>
      <c r="DT15" s="1546"/>
      <c r="DU15" s="1546"/>
      <c r="DV15" s="1546"/>
      <c r="DW15" s="1546"/>
      <c r="DX15" s="1546"/>
      <c r="DY15" s="1546"/>
      <c r="DZ15" s="1546"/>
      <c r="EA15" s="1546"/>
      <c r="EB15" s="1546"/>
      <c r="EC15" s="1546"/>
      <c r="ED15" s="1546"/>
      <c r="EE15" s="1546"/>
      <c r="EF15" s="1546"/>
      <c r="EG15" s="1546"/>
      <c r="EH15" s="1546"/>
      <c r="EI15" s="1546"/>
      <c r="EJ15" s="1546"/>
      <c r="EK15" s="1546"/>
      <c r="EL15" s="1546"/>
      <c r="EM15" s="1546"/>
      <c r="EN15" s="1546"/>
      <c r="EO15" s="1546"/>
      <c r="EP15" s="1546"/>
      <c r="EQ15" s="1546"/>
      <c r="ER15" s="1546"/>
      <c r="ES15" s="1546"/>
      <c r="ET15" s="1546"/>
      <c r="EU15" s="1546"/>
      <c r="EV15" s="1546"/>
      <c r="EW15" s="1546"/>
      <c r="EX15" s="1546"/>
      <c r="EY15" s="1546"/>
      <c r="EZ15" s="1546"/>
      <c r="FA15" s="1546"/>
      <c r="FB15" s="1546"/>
      <c r="FC15" s="1546"/>
      <c r="FD15" s="1546"/>
      <c r="FE15" s="1546"/>
      <c r="FF15" s="1546"/>
      <c r="FG15" s="1546"/>
      <c r="FH15" s="1546"/>
      <c r="FI15" s="1546"/>
      <c r="FJ15" s="1546"/>
      <c r="FK15" s="1546"/>
      <c r="FL15" s="1546"/>
      <c r="FM15" s="1546"/>
      <c r="FN15" s="1546"/>
      <c r="FO15" s="1546"/>
      <c r="FP15" s="1546"/>
      <c r="FQ15" s="1546"/>
      <c r="FR15" s="1546"/>
      <c r="FS15" s="1546"/>
      <c r="FT15" s="1546"/>
      <c r="FU15" s="1546"/>
      <c r="FV15" s="1546"/>
      <c r="FW15" s="1546"/>
      <c r="FX15" s="1546"/>
      <c r="FY15" s="1546"/>
      <c r="FZ15" s="1546"/>
      <c r="GA15" s="1546"/>
      <c r="GB15" s="1546"/>
      <c r="GC15" s="1546"/>
      <c r="GD15" s="1546"/>
      <c r="GE15" s="1546"/>
      <c r="GF15" s="1546"/>
      <c r="GG15" s="1546"/>
      <c r="GH15" s="1546"/>
      <c r="GI15" s="1546"/>
      <c r="GJ15" s="1546"/>
      <c r="GK15" s="1546"/>
      <c r="GL15" s="1546"/>
      <c r="GM15" s="1546"/>
      <c r="GN15" s="1546"/>
      <c r="GO15" s="1546"/>
      <c r="GP15" s="1546"/>
      <c r="GQ15" s="1546"/>
      <c r="GR15" s="1546"/>
      <c r="GS15" s="1546"/>
      <c r="GT15" s="1546"/>
      <c r="GU15" s="1546"/>
      <c r="GV15" s="1546"/>
      <c r="GW15" s="1546"/>
      <c r="GX15" s="1546"/>
      <c r="GY15" s="1546"/>
      <c r="GZ15" s="1546"/>
      <c r="HA15" s="1546"/>
      <c r="HB15" s="1546"/>
      <c r="HC15" s="1546"/>
      <c r="HD15" s="1546"/>
      <c r="HE15" s="1546"/>
      <c r="HF15" s="1546"/>
      <c r="HG15" s="1546"/>
      <c r="HH15" s="1546"/>
      <c r="HI15" s="1546"/>
      <c r="HJ15" s="1546"/>
      <c r="HK15" s="1546"/>
      <c r="HL15" s="1546"/>
      <c r="HM15" s="1546"/>
      <c r="HN15" s="1546"/>
      <c r="HO15" s="1546"/>
      <c r="HP15" s="1546"/>
      <c r="HQ15" s="1546"/>
      <c r="HR15" s="1546"/>
      <c r="HS15" s="1546"/>
      <c r="HT15" s="1546"/>
      <c r="HU15" s="1546"/>
      <c r="HV15" s="1546"/>
      <c r="HW15" s="1546"/>
      <c r="HX15" s="1546"/>
      <c r="HY15" s="1546"/>
      <c r="HZ15" s="1546"/>
      <c r="IA15" s="1546"/>
      <c r="IB15" s="1546"/>
      <c r="IC15" s="1546"/>
      <c r="ID15" s="1546"/>
      <c r="IE15" s="1546"/>
      <c r="IF15" s="1546"/>
      <c r="IG15" s="1546"/>
      <c r="IH15" s="1546"/>
      <c r="II15" s="1546"/>
      <c r="IJ15" s="1546"/>
      <c r="IK15" s="1546"/>
      <c r="IL15" s="1546"/>
      <c r="IM15" s="1546"/>
      <c r="IN15" s="1546"/>
      <c r="IO15" s="1546"/>
      <c r="IP15" s="1546"/>
      <c r="IQ15" s="1546"/>
      <c r="IR15" s="1546"/>
      <c r="IS15" s="1546"/>
      <c r="IT15" s="1546"/>
      <c r="IU15" s="1546"/>
      <c r="IV15" s="1546"/>
      <c r="IW15" s="1546"/>
    </row>
    <row r="16" spans="1:257" ht="12.75" customHeight="1" x14ac:dyDescent="0.25">
      <c r="A16" s="1545"/>
      <c r="B16" s="1581" t="s">
        <v>30</v>
      </c>
      <c r="C16" s="1582"/>
      <c r="D16" s="1548"/>
      <c r="E16" s="1583" t="s">
        <v>31</v>
      </c>
      <c r="F16" s="1548"/>
      <c r="G16" s="1548"/>
      <c r="H16" s="1548"/>
      <c r="I16" s="1548"/>
      <c r="J16" s="1548"/>
      <c r="K16" s="1548"/>
      <c r="L16" s="1548"/>
      <c r="M16" s="1548"/>
      <c r="N16" s="1548"/>
      <c r="O16" s="1548"/>
      <c r="P16" s="1548"/>
      <c r="Q16" s="1548"/>
      <c r="R16" s="1548"/>
      <c r="S16" s="1548"/>
      <c r="T16" s="1586"/>
      <c r="U16" s="1567">
        <f>+V10</f>
        <v>46022</v>
      </c>
      <c r="V16" s="1567"/>
      <c r="W16" s="1567"/>
      <c r="X16" s="1567"/>
      <c r="Y16" s="1567"/>
      <c r="Z16" s="1567"/>
      <c r="AA16" s="1582"/>
      <c r="AB16" s="1548"/>
      <c r="AC16" s="1548"/>
      <c r="AD16" s="1548"/>
      <c r="AE16" s="1548"/>
      <c r="AF16" s="1548"/>
      <c r="AG16" s="1548"/>
      <c r="AH16" s="1548"/>
      <c r="AI16" s="1548"/>
      <c r="AJ16" s="1548"/>
      <c r="AK16" s="1548"/>
      <c r="AL16" s="1548"/>
      <c r="AM16" s="1548"/>
      <c r="AN16" s="1551"/>
    </row>
    <row r="17" spans="1:257" ht="8.1" customHeight="1" x14ac:dyDescent="0.25">
      <c r="A17" s="1545"/>
      <c r="B17" s="1587"/>
      <c r="C17" s="1548"/>
      <c r="D17" s="1548"/>
      <c r="E17" s="1548"/>
      <c r="F17" s="1548"/>
      <c r="G17" s="1548"/>
      <c r="H17" s="1548"/>
      <c r="I17" s="1548"/>
      <c r="J17" s="1548"/>
      <c r="K17" s="1548"/>
      <c r="L17" s="1548"/>
      <c r="M17" s="1548"/>
      <c r="N17" s="1548"/>
      <c r="O17" s="1548"/>
      <c r="P17" s="1548"/>
      <c r="Q17" s="1548"/>
      <c r="R17" s="1548"/>
      <c r="S17" s="1548"/>
      <c r="T17" s="1548"/>
      <c r="U17" s="1587"/>
      <c r="V17" s="1588"/>
      <c r="W17" s="1587"/>
      <c r="X17" s="1587"/>
      <c r="Y17" s="1587"/>
      <c r="Z17" s="1587"/>
      <c r="AA17" s="1548"/>
      <c r="AB17" s="1548"/>
      <c r="AC17" s="1548"/>
      <c r="AD17" s="1548"/>
      <c r="AE17" s="1548"/>
      <c r="AF17" s="1548"/>
      <c r="AG17" s="1548"/>
      <c r="AH17" s="1548"/>
      <c r="AI17" s="1548"/>
      <c r="AJ17" s="1548"/>
      <c r="AK17" s="1548"/>
      <c r="AL17" s="1548"/>
      <c r="AM17" s="1548"/>
      <c r="AN17" s="1551"/>
    </row>
    <row r="18" spans="1:257" ht="8.1" customHeight="1" x14ac:dyDescent="0.25">
      <c r="A18" s="1545"/>
      <c r="B18" s="1565"/>
      <c r="C18" s="1565"/>
      <c r="D18" s="1565"/>
      <c r="E18" s="1565"/>
      <c r="F18" s="1565"/>
      <c r="G18" s="1565"/>
      <c r="H18" s="1565"/>
      <c r="I18" s="1565"/>
      <c r="J18" s="1565"/>
      <c r="K18" s="1565"/>
      <c r="L18" s="1565"/>
      <c r="M18" s="1565"/>
      <c r="N18" s="1565"/>
      <c r="O18" s="1565"/>
      <c r="P18" s="1565"/>
      <c r="Q18" s="1565"/>
      <c r="R18" s="1565"/>
      <c r="S18" s="1565"/>
      <c r="T18" s="1565"/>
      <c r="U18" s="1565"/>
      <c r="V18" s="1565"/>
      <c r="W18" s="1565"/>
      <c r="X18" s="1565"/>
      <c r="Y18" s="1565"/>
      <c r="Z18" s="1565"/>
      <c r="AA18" s="1565"/>
      <c r="AB18" s="1565"/>
      <c r="AC18" s="1565"/>
      <c r="AD18" s="1565"/>
      <c r="AE18" s="1565"/>
      <c r="AF18" s="1565"/>
      <c r="AG18" s="1565"/>
      <c r="AH18" s="1565"/>
      <c r="AI18" s="1565"/>
      <c r="AJ18" s="1565"/>
      <c r="AK18" s="1565"/>
      <c r="AL18" s="1565"/>
      <c r="AM18" s="1565"/>
      <c r="AN18" s="1572"/>
    </row>
    <row r="19" spans="1:257" s="1580" customFormat="1" ht="8.1" customHeight="1" x14ac:dyDescent="0.25">
      <c r="A19" s="1545"/>
      <c r="B19" s="1573"/>
      <c r="C19" s="1574"/>
      <c r="D19" s="1574"/>
      <c r="E19" s="1574"/>
      <c r="F19" s="1574"/>
      <c r="G19" s="1574"/>
      <c r="H19" s="1574"/>
      <c r="I19" s="1574"/>
      <c r="J19" s="1574"/>
      <c r="K19" s="1574"/>
      <c r="L19" s="1574"/>
      <c r="M19" s="1574"/>
      <c r="N19" s="1574"/>
      <c r="O19" s="1574"/>
      <c r="P19" s="1574"/>
      <c r="Q19" s="1578"/>
      <c r="R19" s="1578"/>
      <c r="S19" s="1578"/>
      <c r="T19" s="1578"/>
      <c r="U19" s="1578"/>
      <c r="V19" s="1578"/>
      <c r="W19" s="1574"/>
      <c r="X19" s="1574"/>
      <c r="Y19" s="1574"/>
      <c r="Z19" s="1574"/>
      <c r="AA19" s="1574"/>
      <c r="AB19" s="1574"/>
      <c r="AC19" s="1574"/>
      <c r="AD19" s="1574"/>
      <c r="AE19" s="1574"/>
      <c r="AF19" s="1574"/>
      <c r="AG19" s="1574"/>
      <c r="AH19" s="1574"/>
      <c r="AI19" s="1574"/>
      <c r="AJ19" s="1574"/>
      <c r="AK19" s="1574"/>
      <c r="AL19" s="1578"/>
      <c r="AM19" s="1578"/>
      <c r="AN19" s="1579"/>
      <c r="AO19" s="1546"/>
      <c r="AP19" s="1546"/>
      <c r="AQ19" s="1546"/>
      <c r="AR19" s="1546"/>
      <c r="AS19" s="1546"/>
      <c r="AT19" s="1546"/>
      <c r="AU19" s="1546"/>
      <c r="AV19" s="1546"/>
      <c r="AW19" s="1546"/>
      <c r="AX19" s="1546"/>
      <c r="AY19" s="1546"/>
      <c r="AZ19" s="1546"/>
      <c r="BA19" s="1546"/>
      <c r="BB19" s="1546"/>
      <c r="BC19" s="1546"/>
      <c r="BD19" s="1546"/>
      <c r="BE19" s="1546"/>
      <c r="BF19" s="1546"/>
      <c r="BG19" s="1546"/>
      <c r="BH19" s="1546"/>
      <c r="BI19" s="1546"/>
      <c r="BJ19" s="1546"/>
      <c r="BK19" s="1546"/>
      <c r="BL19" s="1546"/>
      <c r="BM19" s="1546"/>
      <c r="BN19" s="1546"/>
      <c r="BO19" s="1546"/>
      <c r="BP19" s="1546"/>
      <c r="BQ19" s="1546"/>
      <c r="BR19" s="1546"/>
      <c r="BS19" s="1546"/>
      <c r="BT19" s="1546"/>
      <c r="BU19" s="1546"/>
      <c r="BV19" s="1546"/>
      <c r="BW19" s="1546"/>
      <c r="BX19" s="1546"/>
      <c r="BY19" s="1546"/>
      <c r="BZ19" s="1546"/>
      <c r="CA19" s="1546"/>
      <c r="CB19" s="1546"/>
      <c r="CC19" s="1546"/>
      <c r="CD19" s="1546"/>
      <c r="CE19" s="1546"/>
      <c r="CF19" s="1546"/>
      <c r="CG19" s="1546"/>
      <c r="CH19" s="1546"/>
      <c r="CI19" s="1546"/>
      <c r="CJ19" s="1546"/>
      <c r="CK19" s="1546"/>
      <c r="CL19" s="1546"/>
      <c r="CM19" s="1546"/>
      <c r="CN19" s="1546"/>
      <c r="CO19" s="1546"/>
      <c r="CP19" s="1546"/>
      <c r="CQ19" s="1546"/>
      <c r="CR19" s="1546"/>
      <c r="CS19" s="1546"/>
      <c r="CT19" s="1546"/>
      <c r="CU19" s="1546"/>
      <c r="CV19" s="1546"/>
      <c r="CW19" s="1546"/>
      <c r="CX19" s="1546"/>
      <c r="CY19" s="1546"/>
      <c r="CZ19" s="1546"/>
      <c r="DA19" s="1546"/>
      <c r="DB19" s="1546"/>
      <c r="DC19" s="1546"/>
      <c r="DD19" s="1546"/>
      <c r="DE19" s="1546"/>
      <c r="DF19" s="1546"/>
      <c r="DG19" s="1546"/>
      <c r="DH19" s="1546"/>
      <c r="DI19" s="1546"/>
      <c r="DJ19" s="1546"/>
      <c r="DK19" s="1546"/>
      <c r="DL19" s="1546"/>
      <c r="DM19" s="1546"/>
      <c r="DN19" s="1546"/>
      <c r="DO19" s="1546"/>
      <c r="DP19" s="1546"/>
      <c r="DQ19" s="1546"/>
      <c r="DR19" s="1546"/>
      <c r="DS19" s="1546"/>
      <c r="DT19" s="1546"/>
      <c r="DU19" s="1546"/>
      <c r="DV19" s="1546"/>
      <c r="DW19" s="1546"/>
      <c r="DX19" s="1546"/>
      <c r="DY19" s="1546"/>
      <c r="DZ19" s="1546"/>
      <c r="EA19" s="1546"/>
      <c r="EB19" s="1546"/>
      <c r="EC19" s="1546"/>
      <c r="ED19" s="1546"/>
      <c r="EE19" s="1546"/>
      <c r="EF19" s="1546"/>
      <c r="EG19" s="1546"/>
      <c r="EH19" s="1546"/>
      <c r="EI19" s="1546"/>
      <c r="EJ19" s="1546"/>
      <c r="EK19" s="1546"/>
      <c r="EL19" s="1546"/>
      <c r="EM19" s="1546"/>
      <c r="EN19" s="1546"/>
      <c r="EO19" s="1546"/>
      <c r="EP19" s="1546"/>
      <c r="EQ19" s="1546"/>
      <c r="ER19" s="1546"/>
      <c r="ES19" s="1546"/>
      <c r="ET19" s="1546"/>
      <c r="EU19" s="1546"/>
      <c r="EV19" s="1546"/>
      <c r="EW19" s="1546"/>
      <c r="EX19" s="1546"/>
      <c r="EY19" s="1546"/>
      <c r="EZ19" s="1546"/>
      <c r="FA19" s="1546"/>
      <c r="FB19" s="1546"/>
      <c r="FC19" s="1546"/>
      <c r="FD19" s="1546"/>
      <c r="FE19" s="1546"/>
      <c r="FF19" s="1546"/>
      <c r="FG19" s="1546"/>
      <c r="FH19" s="1546"/>
      <c r="FI19" s="1546"/>
      <c r="FJ19" s="1546"/>
      <c r="FK19" s="1546"/>
      <c r="FL19" s="1546"/>
      <c r="FM19" s="1546"/>
      <c r="FN19" s="1546"/>
      <c r="FO19" s="1546"/>
      <c r="FP19" s="1546"/>
      <c r="FQ19" s="1546"/>
      <c r="FR19" s="1546"/>
      <c r="FS19" s="1546"/>
      <c r="FT19" s="1546"/>
      <c r="FU19" s="1546"/>
      <c r="FV19" s="1546"/>
      <c r="FW19" s="1546"/>
      <c r="FX19" s="1546"/>
      <c r="FY19" s="1546"/>
      <c r="FZ19" s="1546"/>
      <c r="GA19" s="1546"/>
      <c r="GB19" s="1546"/>
      <c r="GC19" s="1546"/>
      <c r="GD19" s="1546"/>
      <c r="GE19" s="1546"/>
      <c r="GF19" s="1546"/>
      <c r="GG19" s="1546"/>
      <c r="GH19" s="1546"/>
      <c r="GI19" s="1546"/>
      <c r="GJ19" s="1546"/>
      <c r="GK19" s="1546"/>
      <c r="GL19" s="1546"/>
      <c r="GM19" s="1546"/>
      <c r="GN19" s="1546"/>
      <c r="GO19" s="1546"/>
      <c r="GP19" s="1546"/>
      <c r="GQ19" s="1546"/>
      <c r="GR19" s="1546"/>
      <c r="GS19" s="1546"/>
      <c r="GT19" s="1546"/>
      <c r="GU19" s="1546"/>
      <c r="GV19" s="1546"/>
      <c r="GW19" s="1546"/>
      <c r="GX19" s="1546"/>
      <c r="GY19" s="1546"/>
      <c r="GZ19" s="1546"/>
      <c r="HA19" s="1546"/>
      <c r="HB19" s="1546"/>
      <c r="HC19" s="1546"/>
      <c r="HD19" s="1546"/>
      <c r="HE19" s="1546"/>
      <c r="HF19" s="1546"/>
      <c r="HG19" s="1546"/>
      <c r="HH19" s="1546"/>
      <c r="HI19" s="1546"/>
      <c r="HJ19" s="1546"/>
      <c r="HK19" s="1546"/>
      <c r="HL19" s="1546"/>
      <c r="HM19" s="1546"/>
      <c r="HN19" s="1546"/>
      <c r="HO19" s="1546"/>
      <c r="HP19" s="1546"/>
      <c r="HQ19" s="1546"/>
      <c r="HR19" s="1546"/>
      <c r="HS19" s="1546"/>
      <c r="HT19" s="1546"/>
      <c r="HU19" s="1546"/>
      <c r="HV19" s="1546"/>
      <c r="HW19" s="1546"/>
      <c r="HX19" s="1546"/>
      <c r="HY19" s="1546"/>
      <c r="HZ19" s="1546"/>
      <c r="IA19" s="1546"/>
      <c r="IB19" s="1546"/>
      <c r="IC19" s="1546"/>
      <c r="ID19" s="1546"/>
      <c r="IE19" s="1546"/>
      <c r="IF19" s="1546"/>
      <c r="IG19" s="1546"/>
      <c r="IH19" s="1546"/>
      <c r="II19" s="1546"/>
      <c r="IJ19" s="1546"/>
      <c r="IK19" s="1546"/>
      <c r="IL19" s="1546"/>
      <c r="IM19" s="1546"/>
      <c r="IN19" s="1546"/>
      <c r="IO19" s="1546"/>
      <c r="IP19" s="1546"/>
      <c r="IQ19" s="1546"/>
      <c r="IR19" s="1546"/>
      <c r="IS19" s="1546"/>
      <c r="IT19" s="1546"/>
      <c r="IU19" s="1546"/>
      <c r="IV19" s="1546"/>
      <c r="IW19" s="1546"/>
    </row>
    <row r="20" spans="1:257" ht="12.75" customHeight="1" x14ac:dyDescent="0.25">
      <c r="A20" s="1545"/>
      <c r="B20" s="1581" t="s">
        <v>32</v>
      </c>
      <c r="C20" s="1582"/>
      <c r="D20" s="1548"/>
      <c r="E20" s="1583" t="s">
        <v>33</v>
      </c>
      <c r="F20" s="1548"/>
      <c r="G20" s="1548"/>
      <c r="H20" s="1548"/>
      <c r="I20" s="1548"/>
      <c r="J20" s="1548"/>
      <c r="K20" s="1548"/>
      <c r="L20" s="1548"/>
      <c r="M20" s="1548"/>
      <c r="N20" s="1548"/>
      <c r="O20" s="1548"/>
      <c r="P20" s="1586"/>
      <c r="Q20" s="1589">
        <v>45657</v>
      </c>
      <c r="R20" s="1590"/>
      <c r="S20" s="1590"/>
      <c r="T20" s="1590"/>
      <c r="U20" s="1590"/>
      <c r="V20" s="1591"/>
      <c r="W20" s="1582"/>
      <c r="X20" s="1548"/>
      <c r="Y20" s="1548"/>
      <c r="Z20" s="1548"/>
      <c r="AA20" s="1548"/>
      <c r="AB20" s="1548"/>
      <c r="AC20" s="1548"/>
      <c r="AD20" s="1548"/>
      <c r="AE20" s="1548"/>
      <c r="AF20" s="1548"/>
      <c r="AG20" s="1548"/>
      <c r="AH20" s="1548"/>
      <c r="AI20" s="1548"/>
      <c r="AJ20" s="1548"/>
      <c r="AK20" s="1592" t="s">
        <v>34</v>
      </c>
      <c r="AL20" s="1593">
        <v>12</v>
      </c>
      <c r="AM20" s="1591"/>
      <c r="AN20" s="1594"/>
    </row>
    <row r="21" spans="1:257" ht="8.1" customHeight="1" x14ac:dyDescent="0.25">
      <c r="A21" s="1545"/>
      <c r="B21" s="1587"/>
      <c r="C21" s="1548"/>
      <c r="D21" s="1548"/>
      <c r="E21" s="1548"/>
      <c r="F21" s="1548"/>
      <c r="G21" s="1548"/>
      <c r="H21" s="1548"/>
      <c r="I21" s="1548"/>
      <c r="J21" s="1548"/>
      <c r="K21" s="1548"/>
      <c r="L21" s="1548"/>
      <c r="M21" s="1548"/>
      <c r="N21" s="1548"/>
      <c r="O21" s="1548"/>
      <c r="P21" s="1548"/>
      <c r="Q21" s="1587"/>
      <c r="R21" s="1587"/>
      <c r="S21" s="1587"/>
      <c r="T21" s="1587"/>
      <c r="U21" s="1587"/>
      <c r="V21" s="1587"/>
      <c r="W21" s="1548"/>
      <c r="X21" s="1548"/>
      <c r="Y21" s="1548"/>
      <c r="Z21" s="1548"/>
      <c r="AA21" s="1548"/>
      <c r="AB21" s="1548"/>
      <c r="AC21" s="1548"/>
      <c r="AD21" s="1548"/>
      <c r="AE21" s="1548"/>
      <c r="AF21" s="1548"/>
      <c r="AG21" s="1548"/>
      <c r="AH21" s="1548"/>
      <c r="AI21" s="1548"/>
      <c r="AJ21" s="1548"/>
      <c r="AK21" s="1548"/>
      <c r="AL21" s="1587"/>
      <c r="AM21" s="1587"/>
      <c r="AN21" s="1551"/>
    </row>
    <row r="22" spans="1:257" ht="8.1" customHeight="1" x14ac:dyDescent="0.25">
      <c r="A22" s="1545"/>
      <c r="B22" s="1565"/>
      <c r="C22" s="1565"/>
      <c r="D22" s="1565"/>
      <c r="E22" s="1565"/>
      <c r="F22" s="1565"/>
      <c r="G22" s="1565"/>
      <c r="H22" s="1565"/>
      <c r="I22" s="1565"/>
      <c r="J22" s="1565"/>
      <c r="K22" s="1565"/>
      <c r="L22" s="1565"/>
      <c r="M22" s="1565"/>
      <c r="N22" s="1565"/>
      <c r="O22" s="1565"/>
      <c r="P22" s="1565"/>
      <c r="Q22" s="1565"/>
      <c r="R22" s="1565"/>
      <c r="S22" s="1565"/>
      <c r="T22" s="1565"/>
      <c r="U22" s="1565"/>
      <c r="V22" s="1565"/>
      <c r="W22" s="1565"/>
      <c r="X22" s="1565"/>
      <c r="Y22" s="1565"/>
      <c r="Z22" s="1565"/>
      <c r="AA22" s="1565"/>
      <c r="AB22" s="1565"/>
      <c r="AC22" s="1565"/>
      <c r="AD22" s="1565"/>
      <c r="AE22" s="1565"/>
      <c r="AF22" s="1565"/>
      <c r="AG22" s="1565"/>
      <c r="AH22" s="1565"/>
      <c r="AI22" s="1565"/>
      <c r="AJ22" s="1565"/>
      <c r="AK22" s="1565"/>
      <c r="AL22" s="1565"/>
      <c r="AM22" s="1565"/>
      <c r="AN22" s="1572"/>
    </row>
    <row r="23" spans="1:257" s="1580" customFormat="1" ht="8.1" customHeight="1" x14ac:dyDescent="0.25">
      <c r="A23" s="1545"/>
      <c r="B23" s="1573"/>
      <c r="C23" s="1574"/>
      <c r="D23" s="1574"/>
      <c r="E23" s="1574"/>
      <c r="F23" s="1578"/>
      <c r="G23" s="1578"/>
      <c r="H23" s="1578"/>
      <c r="I23" s="1578"/>
      <c r="J23" s="1578"/>
      <c r="K23" s="1578"/>
      <c r="L23" s="1578"/>
      <c r="M23" s="1578"/>
      <c r="N23" s="1578"/>
      <c r="O23" s="1578"/>
      <c r="P23" s="1578"/>
      <c r="Q23" s="1574"/>
      <c r="R23" s="1574"/>
      <c r="S23" s="1574"/>
      <c r="T23" s="1574"/>
      <c r="U23" s="1574"/>
      <c r="V23" s="1574"/>
      <c r="W23" s="1578"/>
      <c r="X23" s="1578"/>
      <c r="Y23" s="1578"/>
      <c r="Z23" s="1578"/>
      <c r="AA23" s="1578"/>
      <c r="AB23" s="1578"/>
      <c r="AC23" s="1578"/>
      <c r="AD23" s="1578"/>
      <c r="AE23" s="1578"/>
      <c r="AF23" s="1578"/>
      <c r="AG23" s="1578"/>
      <c r="AH23" s="1578"/>
      <c r="AI23" s="1578"/>
      <c r="AJ23" s="1578"/>
      <c r="AK23" s="1578"/>
      <c r="AL23" s="1574"/>
      <c r="AM23" s="1574"/>
      <c r="AN23" s="1579"/>
      <c r="AO23" s="1546"/>
      <c r="AP23" s="1546"/>
      <c r="AQ23" s="1546"/>
      <c r="AR23" s="1546"/>
      <c r="AS23" s="1546"/>
      <c r="AT23" s="1546"/>
      <c r="AU23" s="1546"/>
      <c r="AV23" s="1546"/>
      <c r="AW23" s="1546"/>
      <c r="AX23" s="1546"/>
      <c r="AY23" s="1546"/>
      <c r="AZ23" s="1546"/>
      <c r="BA23" s="1546"/>
      <c r="BB23" s="1546"/>
      <c r="BC23" s="1546"/>
      <c r="BD23" s="1546"/>
      <c r="BE23" s="1546"/>
      <c r="BF23" s="1546"/>
      <c r="BG23" s="1546"/>
      <c r="BH23" s="1546"/>
      <c r="BI23" s="1546"/>
      <c r="BJ23" s="1546"/>
      <c r="BK23" s="1546"/>
      <c r="BL23" s="1546"/>
      <c r="BM23" s="1546"/>
      <c r="BN23" s="1546"/>
      <c r="BO23" s="1546"/>
      <c r="BP23" s="1546"/>
      <c r="BQ23" s="1546"/>
      <c r="BR23" s="1546"/>
      <c r="BS23" s="1546"/>
      <c r="BT23" s="1546"/>
      <c r="BU23" s="1546"/>
      <c r="BV23" s="1546"/>
      <c r="BW23" s="1546"/>
      <c r="BX23" s="1546"/>
      <c r="BY23" s="1546"/>
      <c r="BZ23" s="1546"/>
      <c r="CA23" s="1546"/>
      <c r="CB23" s="1546"/>
      <c r="CC23" s="1546"/>
      <c r="CD23" s="1546"/>
      <c r="CE23" s="1546"/>
      <c r="CF23" s="1546"/>
      <c r="CG23" s="1546"/>
      <c r="CH23" s="1546"/>
      <c r="CI23" s="1546"/>
      <c r="CJ23" s="1546"/>
      <c r="CK23" s="1546"/>
      <c r="CL23" s="1546"/>
      <c r="CM23" s="1546"/>
      <c r="CN23" s="1546"/>
      <c r="CO23" s="1546"/>
      <c r="CP23" s="1546"/>
      <c r="CQ23" s="1546"/>
      <c r="CR23" s="1546"/>
      <c r="CS23" s="1546"/>
      <c r="CT23" s="1546"/>
      <c r="CU23" s="1546"/>
      <c r="CV23" s="1546"/>
      <c r="CW23" s="1546"/>
      <c r="CX23" s="1546"/>
      <c r="CY23" s="1546"/>
      <c r="CZ23" s="1546"/>
      <c r="DA23" s="1546"/>
      <c r="DB23" s="1546"/>
      <c r="DC23" s="1546"/>
      <c r="DD23" s="1546"/>
      <c r="DE23" s="1546"/>
      <c r="DF23" s="1546"/>
      <c r="DG23" s="1546"/>
      <c r="DH23" s="1546"/>
      <c r="DI23" s="1546"/>
      <c r="DJ23" s="1546"/>
      <c r="DK23" s="1546"/>
      <c r="DL23" s="1546"/>
      <c r="DM23" s="1546"/>
      <c r="DN23" s="1546"/>
      <c r="DO23" s="1546"/>
      <c r="DP23" s="1546"/>
      <c r="DQ23" s="1546"/>
      <c r="DR23" s="1546"/>
      <c r="DS23" s="1546"/>
      <c r="DT23" s="1546"/>
      <c r="DU23" s="1546"/>
      <c r="DV23" s="1546"/>
      <c r="DW23" s="1546"/>
      <c r="DX23" s="1546"/>
      <c r="DY23" s="1546"/>
      <c r="DZ23" s="1546"/>
      <c r="EA23" s="1546"/>
      <c r="EB23" s="1546"/>
      <c r="EC23" s="1546"/>
      <c r="ED23" s="1546"/>
      <c r="EE23" s="1546"/>
      <c r="EF23" s="1546"/>
      <c r="EG23" s="1546"/>
      <c r="EH23" s="1546"/>
      <c r="EI23" s="1546"/>
      <c r="EJ23" s="1546"/>
      <c r="EK23" s="1546"/>
      <c r="EL23" s="1546"/>
      <c r="EM23" s="1546"/>
      <c r="EN23" s="1546"/>
      <c r="EO23" s="1546"/>
      <c r="EP23" s="1546"/>
      <c r="EQ23" s="1546"/>
      <c r="ER23" s="1546"/>
      <c r="ES23" s="1546"/>
      <c r="ET23" s="1546"/>
      <c r="EU23" s="1546"/>
      <c r="EV23" s="1546"/>
      <c r="EW23" s="1546"/>
      <c r="EX23" s="1546"/>
      <c r="EY23" s="1546"/>
      <c r="EZ23" s="1546"/>
      <c r="FA23" s="1546"/>
      <c r="FB23" s="1546"/>
      <c r="FC23" s="1546"/>
      <c r="FD23" s="1546"/>
      <c r="FE23" s="1546"/>
      <c r="FF23" s="1546"/>
      <c r="FG23" s="1546"/>
      <c r="FH23" s="1546"/>
      <c r="FI23" s="1546"/>
      <c r="FJ23" s="1546"/>
      <c r="FK23" s="1546"/>
      <c r="FL23" s="1546"/>
      <c r="FM23" s="1546"/>
      <c r="FN23" s="1546"/>
      <c r="FO23" s="1546"/>
      <c r="FP23" s="1546"/>
      <c r="FQ23" s="1546"/>
      <c r="FR23" s="1546"/>
      <c r="FS23" s="1546"/>
      <c r="FT23" s="1546"/>
      <c r="FU23" s="1546"/>
      <c r="FV23" s="1546"/>
      <c r="FW23" s="1546"/>
      <c r="FX23" s="1546"/>
      <c r="FY23" s="1546"/>
      <c r="FZ23" s="1546"/>
      <c r="GA23" s="1546"/>
      <c r="GB23" s="1546"/>
      <c r="GC23" s="1546"/>
      <c r="GD23" s="1546"/>
      <c r="GE23" s="1546"/>
      <c r="GF23" s="1546"/>
      <c r="GG23" s="1546"/>
      <c r="GH23" s="1546"/>
      <c r="GI23" s="1546"/>
      <c r="GJ23" s="1546"/>
      <c r="GK23" s="1546"/>
      <c r="GL23" s="1546"/>
      <c r="GM23" s="1546"/>
      <c r="GN23" s="1546"/>
      <c r="GO23" s="1546"/>
      <c r="GP23" s="1546"/>
      <c r="GQ23" s="1546"/>
      <c r="GR23" s="1546"/>
      <c r="GS23" s="1546"/>
      <c r="GT23" s="1546"/>
      <c r="GU23" s="1546"/>
      <c r="GV23" s="1546"/>
      <c r="GW23" s="1546"/>
      <c r="GX23" s="1546"/>
      <c r="GY23" s="1546"/>
      <c r="GZ23" s="1546"/>
      <c r="HA23" s="1546"/>
      <c r="HB23" s="1546"/>
      <c r="HC23" s="1546"/>
      <c r="HD23" s="1546"/>
      <c r="HE23" s="1546"/>
      <c r="HF23" s="1546"/>
      <c r="HG23" s="1546"/>
      <c r="HH23" s="1546"/>
      <c r="HI23" s="1546"/>
      <c r="HJ23" s="1546"/>
      <c r="HK23" s="1546"/>
      <c r="HL23" s="1546"/>
      <c r="HM23" s="1546"/>
      <c r="HN23" s="1546"/>
      <c r="HO23" s="1546"/>
      <c r="HP23" s="1546"/>
      <c r="HQ23" s="1546"/>
      <c r="HR23" s="1546"/>
      <c r="HS23" s="1546"/>
      <c r="HT23" s="1546"/>
      <c r="HU23" s="1546"/>
      <c r="HV23" s="1546"/>
      <c r="HW23" s="1546"/>
      <c r="HX23" s="1546"/>
      <c r="HY23" s="1546"/>
      <c r="HZ23" s="1546"/>
      <c r="IA23" s="1546"/>
      <c r="IB23" s="1546"/>
      <c r="IC23" s="1546"/>
      <c r="ID23" s="1546"/>
      <c r="IE23" s="1546"/>
      <c r="IF23" s="1546"/>
      <c r="IG23" s="1546"/>
      <c r="IH23" s="1546"/>
      <c r="II23" s="1546"/>
      <c r="IJ23" s="1546"/>
      <c r="IK23" s="1546"/>
      <c r="IL23" s="1546"/>
      <c r="IM23" s="1546"/>
      <c r="IN23" s="1546"/>
      <c r="IO23" s="1546"/>
      <c r="IP23" s="1546"/>
      <c r="IQ23" s="1546"/>
      <c r="IR23" s="1546"/>
      <c r="IS23" s="1546"/>
      <c r="IT23" s="1546"/>
      <c r="IU23" s="1546"/>
      <c r="IV23" s="1546"/>
      <c r="IW23" s="1546"/>
    </row>
    <row r="24" spans="1:257" ht="12.75" customHeight="1" x14ac:dyDescent="0.25">
      <c r="A24" s="1545"/>
      <c r="B24" s="1581" t="s">
        <v>35</v>
      </c>
      <c r="C24" s="1582"/>
      <c r="D24" s="1548"/>
      <c r="E24" s="1548"/>
      <c r="F24" s="1595" t="s">
        <v>1697</v>
      </c>
      <c r="G24" s="1596"/>
      <c r="H24" s="1597"/>
      <c r="I24" s="1598" t="s">
        <v>1698</v>
      </c>
      <c r="J24" s="1590"/>
      <c r="K24" s="1590"/>
      <c r="L24" s="1590"/>
      <c r="M24" s="1590"/>
      <c r="N24" s="1590"/>
      <c r="O24" s="1590"/>
      <c r="P24" s="1591"/>
      <c r="Q24" s="1582"/>
      <c r="R24" s="1548"/>
      <c r="S24" s="1548"/>
      <c r="T24" s="1548"/>
      <c r="U24" s="1548"/>
      <c r="V24" s="1586"/>
      <c r="W24" s="1598" t="s">
        <v>1363</v>
      </c>
      <c r="X24" s="1599"/>
      <c r="Y24" s="1599"/>
      <c r="Z24" s="1599"/>
      <c r="AA24" s="1599"/>
      <c r="AB24" s="1599"/>
      <c r="AC24" s="1599"/>
      <c r="AD24" s="1599"/>
      <c r="AE24" s="1599"/>
      <c r="AF24" s="1599"/>
      <c r="AG24" s="1599"/>
      <c r="AH24" s="1599"/>
      <c r="AI24" s="1599"/>
      <c r="AJ24" s="1599"/>
      <c r="AK24" s="1600"/>
      <c r="AL24" s="1582"/>
      <c r="AM24" s="1548"/>
      <c r="AN24" s="1551"/>
    </row>
    <row r="25" spans="1:257" ht="12.75" customHeight="1" x14ac:dyDescent="0.25">
      <c r="A25" s="1545"/>
      <c r="B25" s="1587"/>
      <c r="C25" s="1548"/>
      <c r="D25" s="1548"/>
      <c r="E25" s="1548"/>
      <c r="F25" s="1601" t="s">
        <v>36</v>
      </c>
      <c r="G25" s="1602"/>
      <c r="H25" s="1603"/>
      <c r="I25" s="1604" t="s">
        <v>37</v>
      </c>
      <c r="J25" s="1605"/>
      <c r="K25" s="1605"/>
      <c r="L25" s="1605"/>
      <c r="M25" s="1605"/>
      <c r="N25" s="1605"/>
      <c r="O25" s="1605"/>
      <c r="P25" s="1605"/>
      <c r="Q25" s="1548"/>
      <c r="R25" s="1548"/>
      <c r="S25" s="1548"/>
      <c r="T25" s="1548"/>
      <c r="U25" s="1548"/>
      <c r="V25" s="1548"/>
      <c r="W25" s="1604" t="s">
        <v>38</v>
      </c>
      <c r="X25" s="1605"/>
      <c r="Y25" s="1605"/>
      <c r="Z25" s="1605"/>
      <c r="AA25" s="1605"/>
      <c r="AB25" s="1605"/>
      <c r="AC25" s="1605"/>
      <c r="AD25" s="1605"/>
      <c r="AE25" s="1605"/>
      <c r="AF25" s="1605"/>
      <c r="AG25" s="1605"/>
      <c r="AH25" s="1605"/>
      <c r="AI25" s="1605"/>
      <c r="AJ25" s="1605"/>
      <c r="AK25" s="1605"/>
      <c r="AL25" s="1548"/>
      <c r="AM25" s="1548"/>
      <c r="AN25" s="1551"/>
    </row>
    <row r="26" spans="1:257" ht="8.1" customHeight="1" x14ac:dyDescent="0.25">
      <c r="A26" s="1545"/>
      <c r="B26" s="1606"/>
      <c r="C26" s="1606"/>
      <c r="D26" s="1606"/>
      <c r="E26" s="1606"/>
      <c r="F26" s="1606"/>
      <c r="G26" s="1606"/>
      <c r="H26" s="1606"/>
      <c r="I26" s="1606"/>
      <c r="J26" s="1606"/>
      <c r="K26" s="1606"/>
      <c r="L26" s="1606"/>
      <c r="M26" s="1606"/>
      <c r="N26" s="1606"/>
      <c r="O26" s="1606"/>
      <c r="P26" s="1606"/>
      <c r="Q26" s="1606"/>
      <c r="R26" s="1606"/>
      <c r="S26" s="1606"/>
      <c r="T26" s="1606"/>
      <c r="U26" s="1606"/>
      <c r="V26" s="1606"/>
      <c r="W26" s="1606"/>
      <c r="X26" s="1606"/>
      <c r="Y26" s="1606"/>
      <c r="Z26" s="1606"/>
      <c r="AA26" s="1606"/>
      <c r="AB26" s="1606"/>
      <c r="AC26" s="1606"/>
      <c r="AD26" s="1606"/>
      <c r="AE26" s="1606"/>
      <c r="AF26" s="1606"/>
      <c r="AG26" s="1606"/>
      <c r="AH26" s="1606"/>
      <c r="AI26" s="1606"/>
      <c r="AJ26" s="1606"/>
      <c r="AK26" s="1606"/>
      <c r="AL26" s="1606"/>
      <c r="AM26" s="1606"/>
      <c r="AN26" s="1572"/>
    </row>
    <row r="27" spans="1:257" s="1580" customFormat="1" ht="8.1" customHeight="1" x14ac:dyDescent="0.25">
      <c r="A27" s="1545"/>
      <c r="B27" s="1607"/>
      <c r="C27" s="1577"/>
      <c r="D27" s="1577"/>
      <c r="E27" s="1577"/>
      <c r="F27" s="1577"/>
      <c r="G27" s="1608"/>
      <c r="H27" s="1608"/>
      <c r="I27" s="1608"/>
      <c r="J27" s="1608"/>
      <c r="K27" s="1608"/>
      <c r="L27" s="1608"/>
      <c r="M27" s="1608"/>
      <c r="N27" s="1608"/>
      <c r="O27" s="1577"/>
      <c r="P27" s="1577"/>
      <c r="Q27" s="1577"/>
      <c r="R27" s="1577"/>
      <c r="S27" s="1608"/>
      <c r="T27" s="1608"/>
      <c r="U27" s="1608"/>
      <c r="V27" s="1608"/>
      <c r="W27" s="1608"/>
      <c r="X27" s="1608"/>
      <c r="Y27" s="1608"/>
      <c r="Z27" s="1608"/>
      <c r="AA27" s="1577"/>
      <c r="AB27" s="1577"/>
      <c r="AC27" s="1577"/>
      <c r="AD27" s="1577"/>
      <c r="AE27" s="1608"/>
      <c r="AF27" s="1608"/>
      <c r="AG27" s="1608"/>
      <c r="AH27" s="1608"/>
      <c r="AI27" s="1608"/>
      <c r="AJ27" s="1608"/>
      <c r="AK27" s="1608"/>
      <c r="AL27" s="1608"/>
      <c r="AM27" s="1577"/>
      <c r="AN27" s="1579"/>
      <c r="AO27" s="1546"/>
      <c r="AP27" s="1546"/>
      <c r="AQ27" s="1546"/>
      <c r="AR27" s="1546"/>
      <c r="AS27" s="1546"/>
      <c r="AT27" s="1546"/>
      <c r="AU27" s="1546"/>
      <c r="AV27" s="1546"/>
      <c r="AW27" s="1546"/>
      <c r="AX27" s="1546"/>
      <c r="AY27" s="1546"/>
      <c r="AZ27" s="1546"/>
      <c r="BA27" s="1546"/>
      <c r="BB27" s="1546"/>
      <c r="BC27" s="1546"/>
      <c r="BD27" s="1546"/>
      <c r="BE27" s="1546"/>
      <c r="BF27" s="1546"/>
      <c r="BG27" s="1546"/>
      <c r="BH27" s="1546"/>
      <c r="BI27" s="1546"/>
      <c r="BJ27" s="1546"/>
      <c r="BK27" s="1546"/>
      <c r="BL27" s="1546"/>
      <c r="BM27" s="1546"/>
      <c r="BN27" s="1546"/>
      <c r="BO27" s="1546"/>
      <c r="BP27" s="1546"/>
      <c r="BQ27" s="1546"/>
      <c r="BR27" s="1546"/>
      <c r="BS27" s="1546"/>
      <c r="BT27" s="1546"/>
      <c r="BU27" s="1546"/>
      <c r="BV27" s="1546"/>
      <c r="BW27" s="1546"/>
      <c r="BX27" s="1546"/>
      <c r="BY27" s="1546"/>
      <c r="BZ27" s="1546"/>
      <c r="CA27" s="1546"/>
      <c r="CB27" s="1546"/>
      <c r="CC27" s="1546"/>
      <c r="CD27" s="1546"/>
      <c r="CE27" s="1546"/>
      <c r="CF27" s="1546"/>
      <c r="CG27" s="1546"/>
      <c r="CH27" s="1546"/>
      <c r="CI27" s="1546"/>
      <c r="CJ27" s="1546"/>
      <c r="CK27" s="1546"/>
      <c r="CL27" s="1546"/>
      <c r="CM27" s="1546"/>
      <c r="CN27" s="1546"/>
      <c r="CO27" s="1546"/>
      <c r="CP27" s="1546"/>
      <c r="CQ27" s="1546"/>
      <c r="CR27" s="1546"/>
      <c r="CS27" s="1546"/>
      <c r="CT27" s="1546"/>
      <c r="CU27" s="1546"/>
      <c r="CV27" s="1546"/>
      <c r="CW27" s="1546"/>
      <c r="CX27" s="1546"/>
      <c r="CY27" s="1546"/>
      <c r="CZ27" s="1546"/>
      <c r="DA27" s="1546"/>
      <c r="DB27" s="1546"/>
      <c r="DC27" s="1546"/>
      <c r="DD27" s="1546"/>
      <c r="DE27" s="1546"/>
      <c r="DF27" s="1546"/>
      <c r="DG27" s="1546"/>
      <c r="DH27" s="1546"/>
      <c r="DI27" s="1546"/>
      <c r="DJ27" s="1546"/>
      <c r="DK27" s="1546"/>
      <c r="DL27" s="1546"/>
      <c r="DM27" s="1546"/>
      <c r="DN27" s="1546"/>
      <c r="DO27" s="1546"/>
      <c r="DP27" s="1546"/>
      <c r="DQ27" s="1546"/>
      <c r="DR27" s="1546"/>
      <c r="DS27" s="1546"/>
      <c r="DT27" s="1546"/>
      <c r="DU27" s="1546"/>
      <c r="DV27" s="1546"/>
      <c r="DW27" s="1546"/>
      <c r="DX27" s="1546"/>
      <c r="DY27" s="1546"/>
      <c r="DZ27" s="1546"/>
      <c r="EA27" s="1546"/>
      <c r="EB27" s="1546"/>
      <c r="EC27" s="1546"/>
      <c r="ED27" s="1546"/>
      <c r="EE27" s="1546"/>
      <c r="EF27" s="1546"/>
      <c r="EG27" s="1546"/>
      <c r="EH27" s="1546"/>
      <c r="EI27" s="1546"/>
      <c r="EJ27" s="1546"/>
      <c r="EK27" s="1546"/>
      <c r="EL27" s="1546"/>
      <c r="EM27" s="1546"/>
      <c r="EN27" s="1546"/>
      <c r="EO27" s="1546"/>
      <c r="EP27" s="1546"/>
      <c r="EQ27" s="1546"/>
      <c r="ER27" s="1546"/>
      <c r="ES27" s="1546"/>
      <c r="ET27" s="1546"/>
      <c r="EU27" s="1546"/>
      <c r="EV27" s="1546"/>
      <c r="EW27" s="1546"/>
      <c r="EX27" s="1546"/>
      <c r="EY27" s="1546"/>
      <c r="EZ27" s="1546"/>
      <c r="FA27" s="1546"/>
      <c r="FB27" s="1546"/>
      <c r="FC27" s="1546"/>
      <c r="FD27" s="1546"/>
      <c r="FE27" s="1546"/>
      <c r="FF27" s="1546"/>
      <c r="FG27" s="1546"/>
      <c r="FH27" s="1546"/>
      <c r="FI27" s="1546"/>
      <c r="FJ27" s="1546"/>
      <c r="FK27" s="1546"/>
      <c r="FL27" s="1546"/>
      <c r="FM27" s="1546"/>
      <c r="FN27" s="1546"/>
      <c r="FO27" s="1546"/>
      <c r="FP27" s="1546"/>
      <c r="FQ27" s="1546"/>
      <c r="FR27" s="1546"/>
      <c r="FS27" s="1546"/>
      <c r="FT27" s="1546"/>
      <c r="FU27" s="1546"/>
      <c r="FV27" s="1546"/>
      <c r="FW27" s="1546"/>
      <c r="FX27" s="1546"/>
      <c r="FY27" s="1546"/>
      <c r="FZ27" s="1546"/>
      <c r="GA27" s="1546"/>
      <c r="GB27" s="1546"/>
      <c r="GC27" s="1546"/>
      <c r="GD27" s="1546"/>
      <c r="GE27" s="1546"/>
      <c r="GF27" s="1546"/>
      <c r="GG27" s="1546"/>
      <c r="GH27" s="1546"/>
      <c r="GI27" s="1546"/>
      <c r="GJ27" s="1546"/>
      <c r="GK27" s="1546"/>
      <c r="GL27" s="1546"/>
      <c r="GM27" s="1546"/>
      <c r="GN27" s="1546"/>
      <c r="GO27" s="1546"/>
      <c r="GP27" s="1546"/>
      <c r="GQ27" s="1546"/>
      <c r="GR27" s="1546"/>
      <c r="GS27" s="1546"/>
      <c r="GT27" s="1546"/>
      <c r="GU27" s="1546"/>
      <c r="GV27" s="1546"/>
      <c r="GW27" s="1546"/>
      <c r="GX27" s="1546"/>
      <c r="GY27" s="1546"/>
      <c r="GZ27" s="1546"/>
      <c r="HA27" s="1546"/>
      <c r="HB27" s="1546"/>
      <c r="HC27" s="1546"/>
      <c r="HD27" s="1546"/>
      <c r="HE27" s="1546"/>
      <c r="HF27" s="1546"/>
      <c r="HG27" s="1546"/>
      <c r="HH27" s="1546"/>
      <c r="HI27" s="1546"/>
      <c r="HJ27" s="1546"/>
      <c r="HK27" s="1546"/>
      <c r="HL27" s="1546"/>
      <c r="HM27" s="1546"/>
      <c r="HN27" s="1546"/>
      <c r="HO27" s="1546"/>
      <c r="HP27" s="1546"/>
      <c r="HQ27" s="1546"/>
      <c r="HR27" s="1546"/>
      <c r="HS27" s="1546"/>
      <c r="HT27" s="1546"/>
      <c r="HU27" s="1546"/>
      <c r="HV27" s="1546"/>
      <c r="HW27" s="1546"/>
      <c r="HX27" s="1546"/>
      <c r="HY27" s="1546"/>
      <c r="HZ27" s="1546"/>
      <c r="IA27" s="1546"/>
      <c r="IB27" s="1546"/>
      <c r="IC27" s="1546"/>
      <c r="ID27" s="1546"/>
      <c r="IE27" s="1546"/>
      <c r="IF27" s="1546"/>
      <c r="IG27" s="1546"/>
      <c r="IH27" s="1546"/>
      <c r="II27" s="1546"/>
      <c r="IJ27" s="1546"/>
      <c r="IK27" s="1546"/>
      <c r="IL27" s="1546"/>
      <c r="IM27" s="1546"/>
      <c r="IN27" s="1546"/>
      <c r="IO27" s="1546"/>
      <c r="IP27" s="1546"/>
      <c r="IQ27" s="1546"/>
      <c r="IR27" s="1546"/>
      <c r="IS27" s="1546"/>
      <c r="IT27" s="1546"/>
      <c r="IU27" s="1546"/>
      <c r="IV27" s="1546"/>
      <c r="IW27" s="1546"/>
    </row>
    <row r="28" spans="1:257" ht="12.75" customHeight="1" x14ac:dyDescent="0.25">
      <c r="A28" s="1545"/>
      <c r="B28" s="1581" t="s">
        <v>39</v>
      </c>
      <c r="C28" s="1582"/>
      <c r="D28" s="1548"/>
      <c r="E28" s="1548"/>
      <c r="F28" s="1586"/>
      <c r="G28" s="1598" t="s">
        <v>319</v>
      </c>
      <c r="H28" s="1590"/>
      <c r="I28" s="1590"/>
      <c r="J28" s="1590"/>
      <c r="K28" s="1590"/>
      <c r="L28" s="1590"/>
      <c r="M28" s="1590"/>
      <c r="N28" s="1591"/>
      <c r="O28" s="1582"/>
      <c r="P28" s="1548"/>
      <c r="Q28" s="1548"/>
      <c r="R28" s="1586"/>
      <c r="S28" s="1593" t="s">
        <v>319</v>
      </c>
      <c r="T28" s="1590"/>
      <c r="U28" s="1590"/>
      <c r="V28" s="1590"/>
      <c r="W28" s="1590"/>
      <c r="X28" s="1590"/>
      <c r="Y28" s="1590"/>
      <c r="Z28" s="1591"/>
      <c r="AA28" s="1582"/>
      <c r="AB28" s="1548"/>
      <c r="AC28" s="1548"/>
      <c r="AD28" s="1586"/>
      <c r="AE28" s="1595" t="s">
        <v>1699</v>
      </c>
      <c r="AF28" s="1596"/>
      <c r="AG28" s="1596"/>
      <c r="AH28" s="1596"/>
      <c r="AI28" s="1596"/>
      <c r="AJ28" s="1596"/>
      <c r="AK28" s="1596"/>
      <c r="AL28" s="1597"/>
      <c r="AM28" s="1582"/>
      <c r="AN28" s="1551"/>
    </row>
    <row r="29" spans="1:257" ht="12.75" customHeight="1" x14ac:dyDescent="0.25">
      <c r="A29" s="1545"/>
      <c r="B29" s="1587"/>
      <c r="C29" s="1548"/>
      <c r="D29" s="1548"/>
      <c r="E29" s="1548"/>
      <c r="F29" s="1548"/>
      <c r="G29" s="1604" t="s">
        <v>1300</v>
      </c>
      <c r="H29" s="1605"/>
      <c r="I29" s="1605"/>
      <c r="J29" s="1605"/>
      <c r="K29" s="1605"/>
      <c r="L29" s="1605"/>
      <c r="M29" s="1605"/>
      <c r="N29" s="1605"/>
      <c r="O29" s="1548"/>
      <c r="P29" s="1548"/>
      <c r="Q29" s="1548"/>
      <c r="R29" s="1548"/>
      <c r="S29" s="1604" t="s">
        <v>1301</v>
      </c>
      <c r="T29" s="1605"/>
      <c r="U29" s="1605"/>
      <c r="V29" s="1605"/>
      <c r="W29" s="1605"/>
      <c r="X29" s="1605"/>
      <c r="Y29" s="1605"/>
      <c r="Z29" s="1605"/>
      <c r="AA29" s="1548"/>
      <c r="AB29" s="1548"/>
      <c r="AC29" s="1548"/>
      <c r="AD29" s="1548"/>
      <c r="AE29" s="1604" t="s">
        <v>40</v>
      </c>
      <c r="AF29" s="1605"/>
      <c r="AG29" s="1605"/>
      <c r="AH29" s="1605"/>
      <c r="AI29" s="1605"/>
      <c r="AJ29" s="1605"/>
      <c r="AK29" s="1605"/>
      <c r="AL29" s="1605"/>
      <c r="AM29" s="1548"/>
      <c r="AN29" s="1551"/>
    </row>
    <row r="30" spans="1:257" ht="8.1" customHeight="1" x14ac:dyDescent="0.25">
      <c r="A30" s="1545"/>
      <c r="B30" s="1565"/>
      <c r="C30" s="1565"/>
      <c r="D30" s="1565"/>
      <c r="E30" s="1565"/>
      <c r="F30" s="1565"/>
      <c r="G30" s="1606"/>
      <c r="H30" s="1606"/>
      <c r="I30" s="1606"/>
      <c r="J30" s="1606"/>
      <c r="K30" s="1606"/>
      <c r="L30" s="1606"/>
      <c r="M30" s="1606"/>
      <c r="N30" s="1606"/>
      <c r="O30" s="1565"/>
      <c r="P30" s="1565"/>
      <c r="Q30" s="1565"/>
      <c r="R30" s="1565"/>
      <c r="S30" s="1565"/>
      <c r="T30" s="1565"/>
      <c r="U30" s="1565"/>
      <c r="V30" s="1565"/>
      <c r="W30" s="1565"/>
      <c r="X30" s="1565"/>
      <c r="Y30" s="1565"/>
      <c r="Z30" s="1565"/>
      <c r="AA30" s="1565"/>
      <c r="AB30" s="1565"/>
      <c r="AC30" s="1565"/>
      <c r="AD30" s="1565"/>
      <c r="AE30" s="1565"/>
      <c r="AF30" s="1565"/>
      <c r="AG30" s="1565"/>
      <c r="AH30" s="1565"/>
      <c r="AI30" s="1565"/>
      <c r="AJ30" s="1565"/>
      <c r="AK30" s="1565"/>
      <c r="AL30" s="1565"/>
      <c r="AM30" s="1565"/>
      <c r="AN30" s="1572"/>
    </row>
    <row r="31" spans="1:257" s="1580" customFormat="1" ht="8.1" customHeight="1" x14ac:dyDescent="0.25">
      <c r="A31" s="1545"/>
      <c r="B31" s="1573"/>
      <c r="C31" s="1574"/>
      <c r="D31" s="1578"/>
      <c r="E31" s="1578"/>
      <c r="F31" s="1578"/>
      <c r="G31" s="1608"/>
      <c r="H31" s="1608"/>
      <c r="I31" s="1608"/>
      <c r="J31" s="1608"/>
      <c r="K31" s="1608"/>
      <c r="L31" s="1608"/>
      <c r="M31" s="1608"/>
      <c r="N31" s="1608"/>
      <c r="O31" s="1578"/>
      <c r="P31" s="1578"/>
      <c r="Q31" s="1578"/>
      <c r="R31" s="1578"/>
      <c r="S31" s="1578"/>
      <c r="T31" s="1578"/>
      <c r="U31" s="1578"/>
      <c r="V31" s="1578"/>
      <c r="W31" s="1578"/>
      <c r="X31" s="1578"/>
      <c r="Y31" s="1578"/>
      <c r="Z31" s="1578"/>
      <c r="AA31" s="1578"/>
      <c r="AB31" s="1578"/>
      <c r="AC31" s="1578"/>
      <c r="AD31" s="1578"/>
      <c r="AE31" s="1578"/>
      <c r="AF31" s="1578"/>
      <c r="AG31" s="1578"/>
      <c r="AH31" s="1578"/>
      <c r="AI31" s="1578"/>
      <c r="AJ31" s="1578"/>
      <c r="AK31" s="1578"/>
      <c r="AL31" s="1578"/>
      <c r="AM31" s="1578"/>
      <c r="AN31" s="1579"/>
      <c r="AO31" s="1546"/>
      <c r="AP31" s="1546"/>
      <c r="AQ31" s="1546"/>
      <c r="AR31" s="1546"/>
      <c r="AS31" s="1546"/>
      <c r="AT31" s="1546"/>
      <c r="AU31" s="1546"/>
      <c r="AV31" s="1546"/>
      <c r="AW31" s="1546"/>
      <c r="AX31" s="1546"/>
      <c r="AY31" s="1546"/>
      <c r="AZ31" s="1546"/>
      <c r="BA31" s="1546"/>
      <c r="BB31" s="1546"/>
      <c r="BC31" s="1546"/>
      <c r="BD31" s="1546"/>
      <c r="BE31" s="1546"/>
      <c r="BF31" s="1546"/>
      <c r="BG31" s="1546"/>
      <c r="BH31" s="1546"/>
      <c r="BI31" s="1546"/>
      <c r="BJ31" s="1546"/>
      <c r="BK31" s="1546"/>
      <c r="BL31" s="1546"/>
      <c r="BM31" s="1546"/>
      <c r="BN31" s="1546"/>
      <c r="BO31" s="1546"/>
      <c r="BP31" s="1546"/>
      <c r="BQ31" s="1546"/>
      <c r="BR31" s="1546"/>
      <c r="BS31" s="1546"/>
      <c r="BT31" s="1546"/>
      <c r="BU31" s="1546"/>
      <c r="BV31" s="1546"/>
      <c r="BW31" s="1546"/>
      <c r="BX31" s="1546"/>
      <c r="BY31" s="1546"/>
      <c r="BZ31" s="1546"/>
      <c r="CA31" s="1546"/>
      <c r="CB31" s="1546"/>
      <c r="CC31" s="1546"/>
      <c r="CD31" s="1546"/>
      <c r="CE31" s="1546"/>
      <c r="CF31" s="1546"/>
      <c r="CG31" s="1546"/>
      <c r="CH31" s="1546"/>
      <c r="CI31" s="1546"/>
      <c r="CJ31" s="1546"/>
      <c r="CK31" s="1546"/>
      <c r="CL31" s="1546"/>
      <c r="CM31" s="1546"/>
      <c r="CN31" s="1546"/>
      <c r="CO31" s="1546"/>
      <c r="CP31" s="1546"/>
      <c r="CQ31" s="1546"/>
      <c r="CR31" s="1546"/>
      <c r="CS31" s="1546"/>
      <c r="CT31" s="1546"/>
      <c r="CU31" s="1546"/>
      <c r="CV31" s="1546"/>
      <c r="CW31" s="1546"/>
      <c r="CX31" s="1546"/>
      <c r="CY31" s="1546"/>
      <c r="CZ31" s="1546"/>
      <c r="DA31" s="1546"/>
      <c r="DB31" s="1546"/>
      <c r="DC31" s="1546"/>
      <c r="DD31" s="1546"/>
      <c r="DE31" s="1546"/>
      <c r="DF31" s="1546"/>
      <c r="DG31" s="1546"/>
      <c r="DH31" s="1546"/>
      <c r="DI31" s="1546"/>
      <c r="DJ31" s="1546"/>
      <c r="DK31" s="1546"/>
      <c r="DL31" s="1546"/>
      <c r="DM31" s="1546"/>
      <c r="DN31" s="1546"/>
      <c r="DO31" s="1546"/>
      <c r="DP31" s="1546"/>
      <c r="DQ31" s="1546"/>
      <c r="DR31" s="1546"/>
      <c r="DS31" s="1546"/>
      <c r="DT31" s="1546"/>
      <c r="DU31" s="1546"/>
      <c r="DV31" s="1546"/>
      <c r="DW31" s="1546"/>
      <c r="DX31" s="1546"/>
      <c r="DY31" s="1546"/>
      <c r="DZ31" s="1546"/>
      <c r="EA31" s="1546"/>
      <c r="EB31" s="1546"/>
      <c r="EC31" s="1546"/>
      <c r="ED31" s="1546"/>
      <c r="EE31" s="1546"/>
      <c r="EF31" s="1546"/>
      <c r="EG31" s="1546"/>
      <c r="EH31" s="1546"/>
      <c r="EI31" s="1546"/>
      <c r="EJ31" s="1546"/>
      <c r="EK31" s="1546"/>
      <c r="EL31" s="1546"/>
      <c r="EM31" s="1546"/>
      <c r="EN31" s="1546"/>
      <c r="EO31" s="1546"/>
      <c r="EP31" s="1546"/>
      <c r="EQ31" s="1546"/>
      <c r="ER31" s="1546"/>
      <c r="ES31" s="1546"/>
      <c r="ET31" s="1546"/>
      <c r="EU31" s="1546"/>
      <c r="EV31" s="1546"/>
      <c r="EW31" s="1546"/>
      <c r="EX31" s="1546"/>
      <c r="EY31" s="1546"/>
      <c r="EZ31" s="1546"/>
      <c r="FA31" s="1546"/>
      <c r="FB31" s="1546"/>
      <c r="FC31" s="1546"/>
      <c r="FD31" s="1546"/>
      <c r="FE31" s="1546"/>
      <c r="FF31" s="1546"/>
      <c r="FG31" s="1546"/>
      <c r="FH31" s="1546"/>
      <c r="FI31" s="1546"/>
      <c r="FJ31" s="1546"/>
      <c r="FK31" s="1546"/>
      <c r="FL31" s="1546"/>
      <c r="FM31" s="1546"/>
      <c r="FN31" s="1546"/>
      <c r="FO31" s="1546"/>
      <c r="FP31" s="1546"/>
      <c r="FQ31" s="1546"/>
      <c r="FR31" s="1546"/>
      <c r="FS31" s="1546"/>
      <c r="FT31" s="1546"/>
      <c r="FU31" s="1546"/>
      <c r="FV31" s="1546"/>
      <c r="FW31" s="1546"/>
      <c r="FX31" s="1546"/>
      <c r="FY31" s="1546"/>
      <c r="FZ31" s="1546"/>
      <c r="GA31" s="1546"/>
      <c r="GB31" s="1546"/>
      <c r="GC31" s="1546"/>
      <c r="GD31" s="1546"/>
      <c r="GE31" s="1546"/>
      <c r="GF31" s="1546"/>
      <c r="GG31" s="1546"/>
      <c r="GH31" s="1546"/>
      <c r="GI31" s="1546"/>
      <c r="GJ31" s="1546"/>
      <c r="GK31" s="1546"/>
      <c r="GL31" s="1546"/>
      <c r="GM31" s="1546"/>
      <c r="GN31" s="1546"/>
      <c r="GO31" s="1546"/>
      <c r="GP31" s="1546"/>
      <c r="GQ31" s="1546"/>
      <c r="GR31" s="1546"/>
      <c r="GS31" s="1546"/>
      <c r="GT31" s="1546"/>
      <c r="GU31" s="1546"/>
      <c r="GV31" s="1546"/>
      <c r="GW31" s="1546"/>
      <c r="GX31" s="1546"/>
      <c r="GY31" s="1546"/>
      <c r="GZ31" s="1546"/>
      <c r="HA31" s="1546"/>
      <c r="HB31" s="1546"/>
      <c r="HC31" s="1546"/>
      <c r="HD31" s="1546"/>
      <c r="HE31" s="1546"/>
      <c r="HF31" s="1546"/>
      <c r="HG31" s="1546"/>
      <c r="HH31" s="1546"/>
      <c r="HI31" s="1546"/>
      <c r="HJ31" s="1546"/>
      <c r="HK31" s="1546"/>
      <c r="HL31" s="1546"/>
      <c r="HM31" s="1546"/>
      <c r="HN31" s="1546"/>
      <c r="HO31" s="1546"/>
      <c r="HP31" s="1546"/>
      <c r="HQ31" s="1546"/>
      <c r="HR31" s="1546"/>
      <c r="HS31" s="1546"/>
      <c r="HT31" s="1546"/>
      <c r="HU31" s="1546"/>
      <c r="HV31" s="1546"/>
      <c r="HW31" s="1546"/>
      <c r="HX31" s="1546"/>
      <c r="HY31" s="1546"/>
      <c r="HZ31" s="1546"/>
      <c r="IA31" s="1546"/>
      <c r="IB31" s="1546"/>
      <c r="IC31" s="1546"/>
      <c r="ID31" s="1546"/>
      <c r="IE31" s="1546"/>
      <c r="IF31" s="1546"/>
      <c r="IG31" s="1546"/>
      <c r="IH31" s="1546"/>
      <c r="II31" s="1546"/>
      <c r="IJ31" s="1546"/>
      <c r="IK31" s="1546"/>
      <c r="IL31" s="1546"/>
      <c r="IM31" s="1546"/>
      <c r="IN31" s="1546"/>
      <c r="IO31" s="1546"/>
      <c r="IP31" s="1546"/>
      <c r="IQ31" s="1546"/>
      <c r="IR31" s="1546"/>
      <c r="IS31" s="1546"/>
      <c r="IT31" s="1546"/>
      <c r="IU31" s="1546"/>
      <c r="IV31" s="1546"/>
      <c r="IW31" s="1546"/>
    </row>
    <row r="32" spans="1:257" ht="12.75" customHeight="1" x14ac:dyDescent="0.25">
      <c r="A32" s="1545"/>
      <c r="B32" s="1581" t="s">
        <v>41</v>
      </c>
      <c r="C32" s="1609"/>
      <c r="D32" s="1598" t="str">
        <f>+J4</f>
        <v>AFRICACOLD SARL</v>
      </c>
      <c r="E32" s="1590"/>
      <c r="F32" s="1590"/>
      <c r="G32" s="1590"/>
      <c r="H32" s="1590"/>
      <c r="I32" s="1590"/>
      <c r="J32" s="1590"/>
      <c r="K32" s="1590"/>
      <c r="L32" s="1590"/>
      <c r="M32" s="1590"/>
      <c r="N32" s="1590"/>
      <c r="O32" s="1590"/>
      <c r="P32" s="1590"/>
      <c r="Q32" s="1590"/>
      <c r="R32" s="1590"/>
      <c r="S32" s="1590"/>
      <c r="T32" s="1590"/>
      <c r="U32" s="1590"/>
      <c r="V32" s="1590"/>
      <c r="W32" s="1590"/>
      <c r="X32" s="1590"/>
      <c r="Y32" s="1590"/>
      <c r="Z32" s="1590"/>
      <c r="AA32" s="1590"/>
      <c r="AB32" s="1590"/>
      <c r="AC32" s="1590"/>
      <c r="AD32" s="1591"/>
      <c r="AE32" s="1598" t="str">
        <f>+AD7</f>
        <v xml:space="preserve"> AFRICACOLD SARL</v>
      </c>
      <c r="AF32" s="1590"/>
      <c r="AG32" s="1590"/>
      <c r="AH32" s="1590"/>
      <c r="AI32" s="1590"/>
      <c r="AJ32" s="1590"/>
      <c r="AK32" s="1590"/>
      <c r="AL32" s="1590"/>
      <c r="AM32" s="1591"/>
      <c r="AN32" s="1610"/>
    </row>
    <row r="33" spans="1:257" ht="12.75" customHeight="1" x14ac:dyDescent="0.25">
      <c r="A33" s="1545"/>
      <c r="B33" s="1587"/>
      <c r="C33" s="1548"/>
      <c r="D33" s="1604" t="s">
        <v>21</v>
      </c>
      <c r="E33" s="1605"/>
      <c r="F33" s="1605"/>
      <c r="G33" s="1605"/>
      <c r="H33" s="1605"/>
      <c r="I33" s="1605"/>
      <c r="J33" s="1605"/>
      <c r="K33" s="1605"/>
      <c r="L33" s="1605"/>
      <c r="M33" s="1605"/>
      <c r="N33" s="1605"/>
      <c r="O33" s="1605"/>
      <c r="P33" s="1605"/>
      <c r="Q33" s="1605"/>
      <c r="R33" s="1605"/>
      <c r="S33" s="1605"/>
      <c r="T33" s="1605"/>
      <c r="U33" s="1605"/>
      <c r="V33" s="1605"/>
      <c r="W33" s="1605"/>
      <c r="X33" s="1605"/>
      <c r="Y33" s="1605"/>
      <c r="Z33" s="1605"/>
      <c r="AA33" s="1605"/>
      <c r="AB33" s="1605"/>
      <c r="AC33" s="1605"/>
      <c r="AD33" s="1605"/>
      <c r="AE33" s="1604" t="s">
        <v>42</v>
      </c>
      <c r="AF33" s="1605"/>
      <c r="AG33" s="1605"/>
      <c r="AH33" s="1605"/>
      <c r="AI33" s="1605"/>
      <c r="AJ33" s="1605"/>
      <c r="AK33" s="1605"/>
      <c r="AL33" s="1605"/>
      <c r="AM33" s="1605"/>
      <c r="AN33" s="1551"/>
    </row>
    <row r="34" spans="1:257" ht="8.1" customHeight="1" x14ac:dyDescent="0.25">
      <c r="A34" s="1545"/>
      <c r="B34" s="1565"/>
      <c r="C34" s="1565"/>
      <c r="D34" s="1565"/>
      <c r="E34" s="1565"/>
      <c r="F34" s="1565"/>
      <c r="G34" s="1565"/>
      <c r="H34" s="1565"/>
      <c r="I34" s="1565"/>
      <c r="J34" s="1565"/>
      <c r="K34" s="1565"/>
      <c r="L34" s="1565"/>
      <c r="M34" s="1565"/>
      <c r="N34" s="1565"/>
      <c r="O34" s="1565"/>
      <c r="P34" s="1565"/>
      <c r="Q34" s="1565"/>
      <c r="R34" s="1565"/>
      <c r="S34" s="1565"/>
      <c r="T34" s="1565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  <c r="AJ34" s="1565"/>
      <c r="AK34" s="1565"/>
      <c r="AL34" s="1565"/>
      <c r="AM34" s="1565"/>
      <c r="AN34" s="1572"/>
    </row>
    <row r="35" spans="1:257" s="1580" customFormat="1" ht="8.1" customHeight="1" x14ac:dyDescent="0.25">
      <c r="A35" s="1545"/>
      <c r="B35" s="1573"/>
      <c r="C35" s="1574"/>
      <c r="D35" s="1574"/>
      <c r="E35" s="1574"/>
      <c r="F35" s="1574"/>
      <c r="G35" s="1578"/>
      <c r="H35" s="1578"/>
      <c r="I35" s="1578"/>
      <c r="J35" s="1578"/>
      <c r="K35" s="1578"/>
      <c r="L35" s="1578"/>
      <c r="M35" s="1578"/>
      <c r="N35" s="1578"/>
      <c r="O35" s="1574"/>
      <c r="P35" s="1574"/>
      <c r="Q35" s="1578"/>
      <c r="R35" s="1578"/>
      <c r="S35" s="1578"/>
      <c r="T35" s="1578"/>
      <c r="U35" s="1578"/>
      <c r="V35" s="1578"/>
      <c r="W35" s="1574"/>
      <c r="X35" s="1574"/>
      <c r="Y35" s="1578"/>
      <c r="Z35" s="1578"/>
      <c r="AA35" s="1578"/>
      <c r="AB35" s="1578"/>
      <c r="AC35" s="1578"/>
      <c r="AD35" s="1578"/>
      <c r="AE35" s="1578"/>
      <c r="AF35" s="1578"/>
      <c r="AG35" s="1578"/>
      <c r="AH35" s="1578"/>
      <c r="AI35" s="1578"/>
      <c r="AJ35" s="1578"/>
      <c r="AK35" s="1578"/>
      <c r="AL35" s="1578"/>
      <c r="AM35" s="1578"/>
      <c r="AN35" s="1579"/>
      <c r="AO35" s="1546"/>
      <c r="AP35" s="1546"/>
      <c r="AQ35" s="1546"/>
      <c r="AR35" s="1546"/>
      <c r="AS35" s="1546"/>
      <c r="AT35" s="1546"/>
      <c r="AU35" s="1546"/>
      <c r="AV35" s="1546"/>
      <c r="AW35" s="1546"/>
      <c r="AX35" s="1546"/>
      <c r="AY35" s="1546"/>
      <c r="AZ35" s="1546"/>
      <c r="BA35" s="1546"/>
      <c r="BB35" s="1546"/>
      <c r="BC35" s="1546"/>
      <c r="BD35" s="1546"/>
      <c r="BE35" s="1546"/>
      <c r="BF35" s="1546"/>
      <c r="BG35" s="1546"/>
      <c r="BH35" s="1546"/>
      <c r="BI35" s="1546"/>
      <c r="BJ35" s="1546"/>
      <c r="BK35" s="1546"/>
      <c r="BL35" s="1546"/>
      <c r="BM35" s="1546"/>
      <c r="BN35" s="1546"/>
      <c r="BO35" s="1546"/>
      <c r="BP35" s="1546"/>
      <c r="BQ35" s="1546"/>
      <c r="BR35" s="1546"/>
      <c r="BS35" s="1546"/>
      <c r="BT35" s="1546"/>
      <c r="BU35" s="1546"/>
      <c r="BV35" s="1546"/>
      <c r="BW35" s="1546"/>
      <c r="BX35" s="1546"/>
      <c r="BY35" s="1546"/>
      <c r="BZ35" s="1546"/>
      <c r="CA35" s="1546"/>
      <c r="CB35" s="1546"/>
      <c r="CC35" s="1546"/>
      <c r="CD35" s="1546"/>
      <c r="CE35" s="1546"/>
      <c r="CF35" s="1546"/>
      <c r="CG35" s="1546"/>
      <c r="CH35" s="1546"/>
      <c r="CI35" s="1546"/>
      <c r="CJ35" s="1546"/>
      <c r="CK35" s="1546"/>
      <c r="CL35" s="1546"/>
      <c r="CM35" s="1546"/>
      <c r="CN35" s="1546"/>
      <c r="CO35" s="1546"/>
      <c r="CP35" s="1546"/>
      <c r="CQ35" s="1546"/>
      <c r="CR35" s="1546"/>
      <c r="CS35" s="1546"/>
      <c r="CT35" s="1546"/>
      <c r="CU35" s="1546"/>
      <c r="CV35" s="1546"/>
      <c r="CW35" s="1546"/>
      <c r="CX35" s="1546"/>
      <c r="CY35" s="1546"/>
      <c r="CZ35" s="1546"/>
      <c r="DA35" s="1546"/>
      <c r="DB35" s="1546"/>
      <c r="DC35" s="1546"/>
      <c r="DD35" s="1546"/>
      <c r="DE35" s="1546"/>
      <c r="DF35" s="1546"/>
      <c r="DG35" s="1546"/>
      <c r="DH35" s="1546"/>
      <c r="DI35" s="1546"/>
      <c r="DJ35" s="1546"/>
      <c r="DK35" s="1546"/>
      <c r="DL35" s="1546"/>
      <c r="DM35" s="1546"/>
      <c r="DN35" s="1546"/>
      <c r="DO35" s="1546"/>
      <c r="DP35" s="1546"/>
      <c r="DQ35" s="1546"/>
      <c r="DR35" s="1546"/>
      <c r="DS35" s="1546"/>
      <c r="DT35" s="1546"/>
      <c r="DU35" s="1546"/>
      <c r="DV35" s="1546"/>
      <c r="DW35" s="1546"/>
      <c r="DX35" s="1546"/>
      <c r="DY35" s="1546"/>
      <c r="DZ35" s="1546"/>
      <c r="EA35" s="1546"/>
      <c r="EB35" s="1546"/>
      <c r="EC35" s="1546"/>
      <c r="ED35" s="1546"/>
      <c r="EE35" s="1546"/>
      <c r="EF35" s="1546"/>
      <c r="EG35" s="1546"/>
      <c r="EH35" s="1546"/>
      <c r="EI35" s="1546"/>
      <c r="EJ35" s="1546"/>
      <c r="EK35" s="1546"/>
      <c r="EL35" s="1546"/>
      <c r="EM35" s="1546"/>
      <c r="EN35" s="1546"/>
      <c r="EO35" s="1546"/>
      <c r="EP35" s="1546"/>
      <c r="EQ35" s="1546"/>
      <c r="ER35" s="1546"/>
      <c r="ES35" s="1546"/>
      <c r="ET35" s="1546"/>
      <c r="EU35" s="1546"/>
      <c r="EV35" s="1546"/>
      <c r="EW35" s="1546"/>
      <c r="EX35" s="1546"/>
      <c r="EY35" s="1546"/>
      <c r="EZ35" s="1546"/>
      <c r="FA35" s="1546"/>
      <c r="FB35" s="1546"/>
      <c r="FC35" s="1546"/>
      <c r="FD35" s="1546"/>
      <c r="FE35" s="1546"/>
      <c r="FF35" s="1546"/>
      <c r="FG35" s="1546"/>
      <c r="FH35" s="1546"/>
      <c r="FI35" s="1546"/>
      <c r="FJ35" s="1546"/>
      <c r="FK35" s="1546"/>
      <c r="FL35" s="1546"/>
      <c r="FM35" s="1546"/>
      <c r="FN35" s="1546"/>
      <c r="FO35" s="1546"/>
      <c r="FP35" s="1546"/>
      <c r="FQ35" s="1546"/>
      <c r="FR35" s="1546"/>
      <c r="FS35" s="1546"/>
      <c r="FT35" s="1546"/>
      <c r="FU35" s="1546"/>
      <c r="FV35" s="1546"/>
      <c r="FW35" s="1546"/>
      <c r="FX35" s="1546"/>
      <c r="FY35" s="1546"/>
      <c r="FZ35" s="1546"/>
      <c r="GA35" s="1546"/>
      <c r="GB35" s="1546"/>
      <c r="GC35" s="1546"/>
      <c r="GD35" s="1546"/>
      <c r="GE35" s="1546"/>
      <c r="GF35" s="1546"/>
      <c r="GG35" s="1546"/>
      <c r="GH35" s="1546"/>
      <c r="GI35" s="1546"/>
      <c r="GJ35" s="1546"/>
      <c r="GK35" s="1546"/>
      <c r="GL35" s="1546"/>
      <c r="GM35" s="1546"/>
      <c r="GN35" s="1546"/>
      <c r="GO35" s="1546"/>
      <c r="GP35" s="1546"/>
      <c r="GQ35" s="1546"/>
      <c r="GR35" s="1546"/>
      <c r="GS35" s="1546"/>
      <c r="GT35" s="1546"/>
      <c r="GU35" s="1546"/>
      <c r="GV35" s="1546"/>
      <c r="GW35" s="1546"/>
      <c r="GX35" s="1546"/>
      <c r="GY35" s="1546"/>
      <c r="GZ35" s="1546"/>
      <c r="HA35" s="1546"/>
      <c r="HB35" s="1546"/>
      <c r="HC35" s="1546"/>
      <c r="HD35" s="1546"/>
      <c r="HE35" s="1546"/>
      <c r="HF35" s="1546"/>
      <c r="HG35" s="1546"/>
      <c r="HH35" s="1546"/>
      <c r="HI35" s="1546"/>
      <c r="HJ35" s="1546"/>
      <c r="HK35" s="1546"/>
      <c r="HL35" s="1546"/>
      <c r="HM35" s="1546"/>
      <c r="HN35" s="1546"/>
      <c r="HO35" s="1546"/>
      <c r="HP35" s="1546"/>
      <c r="HQ35" s="1546"/>
      <c r="HR35" s="1546"/>
      <c r="HS35" s="1546"/>
      <c r="HT35" s="1546"/>
      <c r="HU35" s="1546"/>
      <c r="HV35" s="1546"/>
      <c r="HW35" s="1546"/>
      <c r="HX35" s="1546"/>
      <c r="HY35" s="1546"/>
      <c r="HZ35" s="1546"/>
      <c r="IA35" s="1546"/>
      <c r="IB35" s="1546"/>
      <c r="IC35" s="1546"/>
      <c r="ID35" s="1546"/>
      <c r="IE35" s="1546"/>
      <c r="IF35" s="1546"/>
      <c r="IG35" s="1546"/>
      <c r="IH35" s="1546"/>
      <c r="II35" s="1546"/>
      <c r="IJ35" s="1546"/>
      <c r="IK35" s="1546"/>
      <c r="IL35" s="1546"/>
      <c r="IM35" s="1546"/>
      <c r="IN35" s="1546"/>
      <c r="IO35" s="1546"/>
      <c r="IP35" s="1546"/>
      <c r="IQ35" s="1546"/>
      <c r="IR35" s="1546"/>
      <c r="IS35" s="1546"/>
      <c r="IT35" s="1546"/>
      <c r="IU35" s="1546"/>
      <c r="IV35" s="1546"/>
      <c r="IW35" s="1546"/>
    </row>
    <row r="36" spans="1:257" ht="15.6" customHeight="1" x14ac:dyDescent="0.25">
      <c r="A36" s="1545"/>
      <c r="B36" s="1581" t="s">
        <v>43</v>
      </c>
      <c r="C36" s="1582"/>
      <c r="D36" s="1548"/>
      <c r="E36" s="1548"/>
      <c r="F36" s="1586"/>
      <c r="G36" s="1611" t="s">
        <v>1700</v>
      </c>
      <c r="H36" s="1612"/>
      <c r="I36" s="1612"/>
      <c r="J36" s="1612"/>
      <c r="K36" s="1612"/>
      <c r="L36" s="1612"/>
      <c r="M36" s="1612"/>
      <c r="N36" s="1613"/>
      <c r="O36" s="1582"/>
      <c r="P36" s="1586"/>
      <c r="Q36" s="1598" t="s">
        <v>319</v>
      </c>
      <c r="R36" s="1590"/>
      <c r="S36" s="1590"/>
      <c r="T36" s="1590"/>
      <c r="U36" s="1590"/>
      <c r="V36" s="1591"/>
      <c r="W36" s="1582"/>
      <c r="X36" s="1586"/>
      <c r="Y36" s="1593" t="s">
        <v>1363</v>
      </c>
      <c r="Z36" s="1591"/>
      <c r="AA36" s="1598" t="s">
        <v>1363</v>
      </c>
      <c r="AB36" s="1590"/>
      <c r="AC36" s="1590"/>
      <c r="AD36" s="1591"/>
      <c r="AE36" s="1598" t="s">
        <v>1701</v>
      </c>
      <c r="AF36" s="1590"/>
      <c r="AG36" s="1590"/>
      <c r="AH36" s="1590"/>
      <c r="AI36" s="1590"/>
      <c r="AJ36" s="1590"/>
      <c r="AK36" s="1590"/>
      <c r="AL36" s="1590"/>
      <c r="AM36" s="1591"/>
      <c r="AN36" s="1610"/>
    </row>
    <row r="37" spans="1:257" ht="17.399999999999999" customHeight="1" x14ac:dyDescent="0.25">
      <c r="A37" s="1545"/>
      <c r="B37" s="1587"/>
      <c r="C37" s="1548"/>
      <c r="D37" s="1548"/>
      <c r="E37" s="1548"/>
      <c r="F37" s="1548"/>
      <c r="G37" s="1686" t="s">
        <v>44</v>
      </c>
      <c r="H37" s="1687"/>
      <c r="I37" s="1687"/>
      <c r="J37" s="1687"/>
      <c r="K37" s="1687"/>
      <c r="L37" s="1687"/>
      <c r="M37" s="1687"/>
      <c r="N37" s="1687"/>
      <c r="O37" s="1688"/>
      <c r="P37" s="1688"/>
      <c r="Q37" s="1686" t="s">
        <v>1302</v>
      </c>
      <c r="R37" s="1687"/>
      <c r="S37" s="1687"/>
      <c r="T37" s="1687"/>
      <c r="U37" s="1687"/>
      <c r="V37" s="1687"/>
      <c r="W37" s="1688"/>
      <c r="X37" s="1688"/>
      <c r="Y37" s="1686" t="s">
        <v>45</v>
      </c>
      <c r="Z37" s="1687"/>
      <c r="AA37" s="1686" t="s">
        <v>46</v>
      </c>
      <c r="AB37" s="1687"/>
      <c r="AC37" s="1687"/>
      <c r="AD37" s="1687"/>
      <c r="AE37" s="1686" t="s">
        <v>47</v>
      </c>
      <c r="AF37" s="1687"/>
      <c r="AG37" s="1687"/>
      <c r="AH37" s="1687"/>
      <c r="AI37" s="1687"/>
      <c r="AJ37" s="1687"/>
      <c r="AK37" s="1687"/>
      <c r="AL37" s="1687"/>
      <c r="AM37" s="1687"/>
      <c r="AN37" s="1551"/>
    </row>
    <row r="38" spans="1:257" ht="8.1" customHeight="1" x14ac:dyDescent="0.25">
      <c r="A38" s="1545"/>
      <c r="B38" s="1565"/>
      <c r="C38" s="1565"/>
      <c r="D38" s="1565"/>
      <c r="E38" s="1565"/>
      <c r="F38" s="1565"/>
      <c r="G38" s="1565"/>
      <c r="H38" s="1565"/>
      <c r="I38" s="1565"/>
      <c r="J38" s="1565"/>
      <c r="K38" s="1565"/>
      <c r="L38" s="1565"/>
      <c r="M38" s="1565"/>
      <c r="N38" s="1565"/>
      <c r="O38" s="1565"/>
      <c r="P38" s="1565"/>
      <c r="Q38" s="1565"/>
      <c r="R38" s="1565"/>
      <c r="S38" s="1565"/>
      <c r="T38" s="1565"/>
      <c r="U38" s="1565"/>
      <c r="V38" s="1565"/>
      <c r="W38" s="1565"/>
      <c r="X38" s="1565"/>
      <c r="Y38" s="1565"/>
      <c r="Z38" s="1565"/>
      <c r="AA38" s="1565"/>
      <c r="AB38" s="1565"/>
      <c r="AC38" s="1565"/>
      <c r="AD38" s="1565"/>
      <c r="AE38" s="1565"/>
      <c r="AF38" s="1565"/>
      <c r="AG38" s="1565"/>
      <c r="AH38" s="1565"/>
      <c r="AI38" s="1565"/>
      <c r="AJ38" s="1565"/>
      <c r="AK38" s="1565"/>
      <c r="AL38" s="1565"/>
      <c r="AM38" s="1565"/>
      <c r="AN38" s="1572"/>
    </row>
    <row r="39" spans="1:257" s="1580" customFormat="1" ht="8.1" customHeight="1" x14ac:dyDescent="0.25">
      <c r="A39" s="1545"/>
      <c r="B39" s="1573"/>
      <c r="C39" s="1574"/>
      <c r="D39" s="1578"/>
      <c r="E39" s="1578"/>
      <c r="F39" s="1578"/>
      <c r="G39" s="1578"/>
      <c r="H39" s="1578"/>
      <c r="I39" s="1578"/>
      <c r="J39" s="1578"/>
      <c r="K39" s="1578"/>
      <c r="L39" s="1578"/>
      <c r="M39" s="1578"/>
      <c r="N39" s="1578"/>
      <c r="O39" s="1578"/>
      <c r="P39" s="1578"/>
      <c r="Q39" s="1578"/>
      <c r="R39" s="1578"/>
      <c r="S39" s="1578"/>
      <c r="T39" s="1578"/>
      <c r="U39" s="1578"/>
      <c r="V39" s="1578"/>
      <c r="W39" s="1578"/>
      <c r="X39" s="1578"/>
      <c r="Y39" s="1578"/>
      <c r="Z39" s="1578"/>
      <c r="AA39" s="1578"/>
      <c r="AB39" s="1578"/>
      <c r="AC39" s="1578"/>
      <c r="AD39" s="1578"/>
      <c r="AE39" s="1578"/>
      <c r="AF39" s="1578"/>
      <c r="AG39" s="1578"/>
      <c r="AH39" s="1578"/>
      <c r="AI39" s="1578"/>
      <c r="AJ39" s="1578"/>
      <c r="AK39" s="1578"/>
      <c r="AL39" s="1578"/>
      <c r="AM39" s="1578"/>
      <c r="AN39" s="1579"/>
      <c r="AO39" s="1546"/>
      <c r="AP39" s="1546"/>
      <c r="AQ39" s="1546"/>
      <c r="AR39" s="1546"/>
      <c r="AS39" s="1546"/>
      <c r="AT39" s="1546"/>
      <c r="AU39" s="1546"/>
      <c r="AV39" s="1546"/>
      <c r="AW39" s="1546"/>
      <c r="AX39" s="1546"/>
      <c r="AY39" s="1546"/>
      <c r="AZ39" s="1546"/>
      <c r="BA39" s="1546"/>
      <c r="BB39" s="1546"/>
      <c r="BC39" s="1546"/>
      <c r="BD39" s="1546"/>
      <c r="BE39" s="1546"/>
      <c r="BF39" s="1546"/>
      <c r="BG39" s="1546"/>
      <c r="BH39" s="1546"/>
      <c r="BI39" s="1546"/>
      <c r="BJ39" s="1546"/>
      <c r="BK39" s="1546"/>
      <c r="BL39" s="1546"/>
      <c r="BM39" s="1546"/>
      <c r="BN39" s="1546"/>
      <c r="BO39" s="1546"/>
      <c r="BP39" s="1546"/>
      <c r="BQ39" s="1546"/>
      <c r="BR39" s="1546"/>
      <c r="BS39" s="1546"/>
      <c r="BT39" s="1546"/>
      <c r="BU39" s="1546"/>
      <c r="BV39" s="1546"/>
      <c r="BW39" s="1546"/>
      <c r="BX39" s="1546"/>
      <c r="BY39" s="1546"/>
      <c r="BZ39" s="1546"/>
      <c r="CA39" s="1546"/>
      <c r="CB39" s="1546"/>
      <c r="CC39" s="1546"/>
      <c r="CD39" s="1546"/>
      <c r="CE39" s="1546"/>
      <c r="CF39" s="1546"/>
      <c r="CG39" s="1546"/>
      <c r="CH39" s="1546"/>
      <c r="CI39" s="1546"/>
      <c r="CJ39" s="1546"/>
      <c r="CK39" s="1546"/>
      <c r="CL39" s="1546"/>
      <c r="CM39" s="1546"/>
      <c r="CN39" s="1546"/>
      <c r="CO39" s="1546"/>
      <c r="CP39" s="1546"/>
      <c r="CQ39" s="1546"/>
      <c r="CR39" s="1546"/>
      <c r="CS39" s="1546"/>
      <c r="CT39" s="1546"/>
      <c r="CU39" s="1546"/>
      <c r="CV39" s="1546"/>
      <c r="CW39" s="1546"/>
      <c r="CX39" s="1546"/>
      <c r="CY39" s="1546"/>
      <c r="CZ39" s="1546"/>
      <c r="DA39" s="1546"/>
      <c r="DB39" s="1546"/>
      <c r="DC39" s="1546"/>
      <c r="DD39" s="1546"/>
      <c r="DE39" s="1546"/>
      <c r="DF39" s="1546"/>
      <c r="DG39" s="1546"/>
      <c r="DH39" s="1546"/>
      <c r="DI39" s="1546"/>
      <c r="DJ39" s="1546"/>
      <c r="DK39" s="1546"/>
      <c r="DL39" s="1546"/>
      <c r="DM39" s="1546"/>
      <c r="DN39" s="1546"/>
      <c r="DO39" s="1546"/>
      <c r="DP39" s="1546"/>
      <c r="DQ39" s="1546"/>
      <c r="DR39" s="1546"/>
      <c r="DS39" s="1546"/>
      <c r="DT39" s="1546"/>
      <c r="DU39" s="1546"/>
      <c r="DV39" s="1546"/>
      <c r="DW39" s="1546"/>
      <c r="DX39" s="1546"/>
      <c r="DY39" s="1546"/>
      <c r="DZ39" s="1546"/>
      <c r="EA39" s="1546"/>
      <c r="EB39" s="1546"/>
      <c r="EC39" s="1546"/>
      <c r="ED39" s="1546"/>
      <c r="EE39" s="1546"/>
      <c r="EF39" s="1546"/>
      <c r="EG39" s="1546"/>
      <c r="EH39" s="1546"/>
      <c r="EI39" s="1546"/>
      <c r="EJ39" s="1546"/>
      <c r="EK39" s="1546"/>
      <c r="EL39" s="1546"/>
      <c r="EM39" s="1546"/>
      <c r="EN39" s="1546"/>
      <c r="EO39" s="1546"/>
      <c r="EP39" s="1546"/>
      <c r="EQ39" s="1546"/>
      <c r="ER39" s="1546"/>
      <c r="ES39" s="1546"/>
      <c r="ET39" s="1546"/>
      <c r="EU39" s="1546"/>
      <c r="EV39" s="1546"/>
      <c r="EW39" s="1546"/>
      <c r="EX39" s="1546"/>
      <c r="EY39" s="1546"/>
      <c r="EZ39" s="1546"/>
      <c r="FA39" s="1546"/>
      <c r="FB39" s="1546"/>
      <c r="FC39" s="1546"/>
      <c r="FD39" s="1546"/>
      <c r="FE39" s="1546"/>
      <c r="FF39" s="1546"/>
      <c r="FG39" s="1546"/>
      <c r="FH39" s="1546"/>
      <c r="FI39" s="1546"/>
      <c r="FJ39" s="1546"/>
      <c r="FK39" s="1546"/>
      <c r="FL39" s="1546"/>
      <c r="FM39" s="1546"/>
      <c r="FN39" s="1546"/>
      <c r="FO39" s="1546"/>
      <c r="FP39" s="1546"/>
      <c r="FQ39" s="1546"/>
      <c r="FR39" s="1546"/>
      <c r="FS39" s="1546"/>
      <c r="FT39" s="1546"/>
      <c r="FU39" s="1546"/>
      <c r="FV39" s="1546"/>
      <c r="FW39" s="1546"/>
      <c r="FX39" s="1546"/>
      <c r="FY39" s="1546"/>
      <c r="FZ39" s="1546"/>
      <c r="GA39" s="1546"/>
      <c r="GB39" s="1546"/>
      <c r="GC39" s="1546"/>
      <c r="GD39" s="1546"/>
      <c r="GE39" s="1546"/>
      <c r="GF39" s="1546"/>
      <c r="GG39" s="1546"/>
      <c r="GH39" s="1546"/>
      <c r="GI39" s="1546"/>
      <c r="GJ39" s="1546"/>
      <c r="GK39" s="1546"/>
      <c r="GL39" s="1546"/>
      <c r="GM39" s="1546"/>
      <c r="GN39" s="1546"/>
      <c r="GO39" s="1546"/>
      <c r="GP39" s="1546"/>
      <c r="GQ39" s="1546"/>
      <c r="GR39" s="1546"/>
      <c r="GS39" s="1546"/>
      <c r="GT39" s="1546"/>
      <c r="GU39" s="1546"/>
      <c r="GV39" s="1546"/>
      <c r="GW39" s="1546"/>
      <c r="GX39" s="1546"/>
      <c r="GY39" s="1546"/>
      <c r="GZ39" s="1546"/>
      <c r="HA39" s="1546"/>
      <c r="HB39" s="1546"/>
      <c r="HC39" s="1546"/>
      <c r="HD39" s="1546"/>
      <c r="HE39" s="1546"/>
      <c r="HF39" s="1546"/>
      <c r="HG39" s="1546"/>
      <c r="HH39" s="1546"/>
      <c r="HI39" s="1546"/>
      <c r="HJ39" s="1546"/>
      <c r="HK39" s="1546"/>
      <c r="HL39" s="1546"/>
      <c r="HM39" s="1546"/>
      <c r="HN39" s="1546"/>
      <c r="HO39" s="1546"/>
      <c r="HP39" s="1546"/>
      <c r="HQ39" s="1546"/>
      <c r="HR39" s="1546"/>
      <c r="HS39" s="1546"/>
      <c r="HT39" s="1546"/>
      <c r="HU39" s="1546"/>
      <c r="HV39" s="1546"/>
      <c r="HW39" s="1546"/>
      <c r="HX39" s="1546"/>
      <c r="HY39" s="1546"/>
      <c r="HZ39" s="1546"/>
      <c r="IA39" s="1546"/>
      <c r="IB39" s="1546"/>
      <c r="IC39" s="1546"/>
      <c r="ID39" s="1546"/>
      <c r="IE39" s="1546"/>
      <c r="IF39" s="1546"/>
      <c r="IG39" s="1546"/>
      <c r="IH39" s="1546"/>
      <c r="II39" s="1546"/>
      <c r="IJ39" s="1546"/>
      <c r="IK39" s="1546"/>
      <c r="IL39" s="1546"/>
      <c r="IM39" s="1546"/>
      <c r="IN39" s="1546"/>
      <c r="IO39" s="1546"/>
      <c r="IP39" s="1546"/>
      <c r="IQ39" s="1546"/>
      <c r="IR39" s="1546"/>
      <c r="IS39" s="1546"/>
      <c r="IT39" s="1546"/>
      <c r="IU39" s="1546"/>
      <c r="IV39" s="1546"/>
      <c r="IW39" s="1546"/>
    </row>
    <row r="40" spans="1:257" ht="16.2" customHeight="1" x14ac:dyDescent="0.25">
      <c r="A40" s="1545"/>
      <c r="B40" s="1581" t="s">
        <v>48</v>
      </c>
      <c r="C40" s="1614"/>
      <c r="D40" s="1598" t="s">
        <v>1695</v>
      </c>
      <c r="E40" s="1590"/>
      <c r="F40" s="1590"/>
      <c r="G40" s="1590"/>
      <c r="H40" s="1590"/>
      <c r="I40" s="1590"/>
      <c r="J40" s="1590"/>
      <c r="K40" s="1590"/>
      <c r="L40" s="1590"/>
      <c r="M40" s="1590"/>
      <c r="N40" s="1590"/>
      <c r="O40" s="1590"/>
      <c r="P40" s="1590"/>
      <c r="Q40" s="1590"/>
      <c r="R40" s="1590"/>
      <c r="S40" s="1590"/>
      <c r="T40" s="1590"/>
      <c r="U40" s="1590"/>
      <c r="V40" s="1590"/>
      <c r="W40" s="1590"/>
      <c r="X40" s="1590"/>
      <c r="Y40" s="1590"/>
      <c r="Z40" s="1590"/>
      <c r="AA40" s="1590"/>
      <c r="AB40" s="1590"/>
      <c r="AC40" s="1590"/>
      <c r="AD40" s="1590"/>
      <c r="AE40" s="1590"/>
      <c r="AF40" s="1590"/>
      <c r="AG40" s="1590"/>
      <c r="AH40" s="1590"/>
      <c r="AI40" s="1590"/>
      <c r="AJ40" s="1590"/>
      <c r="AK40" s="1590"/>
      <c r="AL40" s="1590"/>
      <c r="AM40" s="1591"/>
      <c r="AN40" s="1610"/>
    </row>
    <row r="41" spans="1:257" ht="18" customHeight="1" x14ac:dyDescent="0.25">
      <c r="A41" s="1545"/>
      <c r="B41" s="1587"/>
      <c r="C41" s="1548"/>
      <c r="D41" s="1604" t="s">
        <v>49</v>
      </c>
      <c r="E41" s="1605"/>
      <c r="F41" s="1605"/>
      <c r="G41" s="1605"/>
      <c r="H41" s="1605"/>
      <c r="I41" s="1605"/>
      <c r="J41" s="1605"/>
      <c r="K41" s="1605"/>
      <c r="L41" s="1605"/>
      <c r="M41" s="1605"/>
      <c r="N41" s="1605"/>
      <c r="O41" s="1605"/>
      <c r="P41" s="1605"/>
      <c r="Q41" s="1605"/>
      <c r="R41" s="1605"/>
      <c r="S41" s="1605"/>
      <c r="T41" s="1605"/>
      <c r="U41" s="1605"/>
      <c r="V41" s="1605"/>
      <c r="W41" s="1605"/>
      <c r="X41" s="1605"/>
      <c r="Y41" s="1605"/>
      <c r="Z41" s="1605"/>
      <c r="AA41" s="1605"/>
      <c r="AB41" s="1605"/>
      <c r="AC41" s="1605"/>
      <c r="AD41" s="1605"/>
      <c r="AE41" s="1605"/>
      <c r="AF41" s="1605"/>
      <c r="AG41" s="1605"/>
      <c r="AH41" s="1605"/>
      <c r="AI41" s="1605"/>
      <c r="AJ41" s="1605"/>
      <c r="AK41" s="1605"/>
      <c r="AL41" s="1605"/>
      <c r="AM41" s="1605"/>
      <c r="AN41" s="1551"/>
    </row>
    <row r="42" spans="1:257" ht="8.1" customHeight="1" x14ac:dyDescent="0.25">
      <c r="A42" s="1545"/>
      <c r="B42" s="1565"/>
      <c r="C42" s="1565"/>
      <c r="D42" s="1565"/>
      <c r="E42" s="1565"/>
      <c r="F42" s="1565"/>
      <c r="G42" s="1565"/>
      <c r="H42" s="1565"/>
      <c r="I42" s="1565"/>
      <c r="J42" s="1565"/>
      <c r="K42" s="1565"/>
      <c r="L42" s="1565"/>
      <c r="M42" s="1565"/>
      <c r="N42" s="1565"/>
      <c r="O42" s="1565"/>
      <c r="P42" s="1565"/>
      <c r="Q42" s="1565"/>
      <c r="R42" s="1565"/>
      <c r="S42" s="1565"/>
      <c r="T42" s="1565"/>
      <c r="U42" s="1565"/>
      <c r="V42" s="1565"/>
      <c r="W42" s="1565"/>
      <c r="X42" s="1565"/>
      <c r="Y42" s="1565"/>
      <c r="Z42" s="1565"/>
      <c r="AA42" s="1565"/>
      <c r="AB42" s="1565"/>
      <c r="AC42" s="1565"/>
      <c r="AD42" s="1565"/>
      <c r="AE42" s="1565"/>
      <c r="AF42" s="1565"/>
      <c r="AG42" s="1565"/>
      <c r="AH42" s="1565"/>
      <c r="AI42" s="1565"/>
      <c r="AJ42" s="1565"/>
      <c r="AK42" s="1565"/>
      <c r="AL42" s="1565"/>
      <c r="AM42" s="1565"/>
      <c r="AN42" s="1572"/>
    </row>
    <row r="43" spans="1:257" s="1580" customFormat="1" ht="8.1" customHeight="1" x14ac:dyDescent="0.25">
      <c r="A43" s="1545"/>
      <c r="B43" s="1573"/>
      <c r="C43" s="1574"/>
      <c r="D43" s="1578"/>
      <c r="E43" s="1578"/>
      <c r="F43" s="1578"/>
      <c r="G43" s="1578"/>
      <c r="H43" s="1578"/>
      <c r="I43" s="1578"/>
      <c r="J43" s="1578"/>
      <c r="K43" s="1578"/>
      <c r="L43" s="1578"/>
      <c r="M43" s="1578"/>
      <c r="N43" s="1578"/>
      <c r="O43" s="1578"/>
      <c r="P43" s="1578"/>
      <c r="Q43" s="1578"/>
      <c r="R43" s="1578"/>
      <c r="S43" s="1578"/>
      <c r="T43" s="1578"/>
      <c r="U43" s="1578"/>
      <c r="V43" s="1578"/>
      <c r="W43" s="1578"/>
      <c r="X43" s="1578"/>
      <c r="Y43" s="1578"/>
      <c r="Z43" s="1578"/>
      <c r="AA43" s="1578"/>
      <c r="AB43" s="1578"/>
      <c r="AC43" s="1578"/>
      <c r="AD43" s="1578"/>
      <c r="AE43" s="1578"/>
      <c r="AF43" s="1578"/>
      <c r="AG43" s="1578"/>
      <c r="AH43" s="1578"/>
      <c r="AI43" s="1578"/>
      <c r="AJ43" s="1578"/>
      <c r="AK43" s="1578"/>
      <c r="AL43" s="1578"/>
      <c r="AM43" s="1578"/>
      <c r="AN43" s="1579"/>
      <c r="AO43" s="1546"/>
      <c r="AP43" s="1546"/>
      <c r="AQ43" s="1546"/>
      <c r="AR43" s="1546"/>
      <c r="AS43" s="1546"/>
      <c r="AT43" s="1546"/>
      <c r="AU43" s="1546"/>
      <c r="AV43" s="1546"/>
      <c r="AW43" s="1546"/>
      <c r="AX43" s="1546"/>
      <c r="AY43" s="1546"/>
      <c r="AZ43" s="1546"/>
      <c r="BA43" s="1546"/>
      <c r="BB43" s="1546"/>
      <c r="BC43" s="1546"/>
      <c r="BD43" s="1546"/>
      <c r="BE43" s="1546"/>
      <c r="BF43" s="1546"/>
      <c r="BG43" s="1546"/>
      <c r="BH43" s="1546"/>
      <c r="BI43" s="1546"/>
      <c r="BJ43" s="1546"/>
      <c r="BK43" s="1546"/>
      <c r="BL43" s="1546"/>
      <c r="BM43" s="1546"/>
      <c r="BN43" s="1546"/>
      <c r="BO43" s="1546"/>
      <c r="BP43" s="1546"/>
      <c r="BQ43" s="1546"/>
      <c r="BR43" s="1546"/>
      <c r="BS43" s="1546"/>
      <c r="BT43" s="1546"/>
      <c r="BU43" s="1546"/>
      <c r="BV43" s="1546"/>
      <c r="BW43" s="1546"/>
      <c r="BX43" s="1546"/>
      <c r="BY43" s="1546"/>
      <c r="BZ43" s="1546"/>
      <c r="CA43" s="1546"/>
      <c r="CB43" s="1546"/>
      <c r="CC43" s="1546"/>
      <c r="CD43" s="1546"/>
      <c r="CE43" s="1546"/>
      <c r="CF43" s="1546"/>
      <c r="CG43" s="1546"/>
      <c r="CH43" s="1546"/>
      <c r="CI43" s="1546"/>
      <c r="CJ43" s="1546"/>
      <c r="CK43" s="1546"/>
      <c r="CL43" s="1546"/>
      <c r="CM43" s="1546"/>
      <c r="CN43" s="1546"/>
      <c r="CO43" s="1546"/>
      <c r="CP43" s="1546"/>
      <c r="CQ43" s="1546"/>
      <c r="CR43" s="1546"/>
      <c r="CS43" s="1546"/>
      <c r="CT43" s="1546"/>
      <c r="CU43" s="1546"/>
      <c r="CV43" s="1546"/>
      <c r="CW43" s="1546"/>
      <c r="CX43" s="1546"/>
      <c r="CY43" s="1546"/>
      <c r="CZ43" s="1546"/>
      <c r="DA43" s="1546"/>
      <c r="DB43" s="1546"/>
      <c r="DC43" s="1546"/>
      <c r="DD43" s="1546"/>
      <c r="DE43" s="1546"/>
      <c r="DF43" s="1546"/>
      <c r="DG43" s="1546"/>
      <c r="DH43" s="1546"/>
      <c r="DI43" s="1546"/>
      <c r="DJ43" s="1546"/>
      <c r="DK43" s="1546"/>
      <c r="DL43" s="1546"/>
      <c r="DM43" s="1546"/>
      <c r="DN43" s="1546"/>
      <c r="DO43" s="1546"/>
      <c r="DP43" s="1546"/>
      <c r="DQ43" s="1546"/>
      <c r="DR43" s="1546"/>
      <c r="DS43" s="1546"/>
      <c r="DT43" s="1546"/>
      <c r="DU43" s="1546"/>
      <c r="DV43" s="1546"/>
      <c r="DW43" s="1546"/>
      <c r="DX43" s="1546"/>
      <c r="DY43" s="1546"/>
      <c r="DZ43" s="1546"/>
      <c r="EA43" s="1546"/>
      <c r="EB43" s="1546"/>
      <c r="EC43" s="1546"/>
      <c r="ED43" s="1546"/>
      <c r="EE43" s="1546"/>
      <c r="EF43" s="1546"/>
      <c r="EG43" s="1546"/>
      <c r="EH43" s="1546"/>
      <c r="EI43" s="1546"/>
      <c r="EJ43" s="1546"/>
      <c r="EK43" s="1546"/>
      <c r="EL43" s="1546"/>
      <c r="EM43" s="1546"/>
      <c r="EN43" s="1546"/>
      <c r="EO43" s="1546"/>
      <c r="EP43" s="1546"/>
      <c r="EQ43" s="1546"/>
      <c r="ER43" s="1546"/>
      <c r="ES43" s="1546"/>
      <c r="ET43" s="1546"/>
      <c r="EU43" s="1546"/>
      <c r="EV43" s="1546"/>
      <c r="EW43" s="1546"/>
      <c r="EX43" s="1546"/>
      <c r="EY43" s="1546"/>
      <c r="EZ43" s="1546"/>
      <c r="FA43" s="1546"/>
      <c r="FB43" s="1546"/>
      <c r="FC43" s="1546"/>
      <c r="FD43" s="1546"/>
      <c r="FE43" s="1546"/>
      <c r="FF43" s="1546"/>
      <c r="FG43" s="1546"/>
      <c r="FH43" s="1546"/>
      <c r="FI43" s="1546"/>
      <c r="FJ43" s="1546"/>
      <c r="FK43" s="1546"/>
      <c r="FL43" s="1546"/>
      <c r="FM43" s="1546"/>
      <c r="FN43" s="1546"/>
      <c r="FO43" s="1546"/>
      <c r="FP43" s="1546"/>
      <c r="FQ43" s="1546"/>
      <c r="FR43" s="1546"/>
      <c r="FS43" s="1546"/>
      <c r="FT43" s="1546"/>
      <c r="FU43" s="1546"/>
      <c r="FV43" s="1546"/>
      <c r="FW43" s="1546"/>
      <c r="FX43" s="1546"/>
      <c r="FY43" s="1546"/>
      <c r="FZ43" s="1546"/>
      <c r="GA43" s="1546"/>
      <c r="GB43" s="1546"/>
      <c r="GC43" s="1546"/>
      <c r="GD43" s="1546"/>
      <c r="GE43" s="1546"/>
      <c r="GF43" s="1546"/>
      <c r="GG43" s="1546"/>
      <c r="GH43" s="1546"/>
      <c r="GI43" s="1546"/>
      <c r="GJ43" s="1546"/>
      <c r="GK43" s="1546"/>
      <c r="GL43" s="1546"/>
      <c r="GM43" s="1546"/>
      <c r="GN43" s="1546"/>
      <c r="GO43" s="1546"/>
      <c r="GP43" s="1546"/>
      <c r="GQ43" s="1546"/>
      <c r="GR43" s="1546"/>
      <c r="GS43" s="1546"/>
      <c r="GT43" s="1546"/>
      <c r="GU43" s="1546"/>
      <c r="GV43" s="1546"/>
      <c r="GW43" s="1546"/>
      <c r="GX43" s="1546"/>
      <c r="GY43" s="1546"/>
      <c r="GZ43" s="1546"/>
      <c r="HA43" s="1546"/>
      <c r="HB43" s="1546"/>
      <c r="HC43" s="1546"/>
      <c r="HD43" s="1546"/>
      <c r="HE43" s="1546"/>
      <c r="HF43" s="1546"/>
      <c r="HG43" s="1546"/>
      <c r="HH43" s="1546"/>
      <c r="HI43" s="1546"/>
      <c r="HJ43" s="1546"/>
      <c r="HK43" s="1546"/>
      <c r="HL43" s="1546"/>
      <c r="HM43" s="1546"/>
      <c r="HN43" s="1546"/>
      <c r="HO43" s="1546"/>
      <c r="HP43" s="1546"/>
      <c r="HQ43" s="1546"/>
      <c r="HR43" s="1546"/>
      <c r="HS43" s="1546"/>
      <c r="HT43" s="1546"/>
      <c r="HU43" s="1546"/>
      <c r="HV43" s="1546"/>
      <c r="HW43" s="1546"/>
      <c r="HX43" s="1546"/>
      <c r="HY43" s="1546"/>
      <c r="HZ43" s="1546"/>
      <c r="IA43" s="1546"/>
      <c r="IB43" s="1546"/>
      <c r="IC43" s="1546"/>
      <c r="ID43" s="1546"/>
      <c r="IE43" s="1546"/>
      <c r="IF43" s="1546"/>
      <c r="IG43" s="1546"/>
      <c r="IH43" s="1546"/>
      <c r="II43" s="1546"/>
      <c r="IJ43" s="1546"/>
      <c r="IK43" s="1546"/>
      <c r="IL43" s="1546"/>
      <c r="IM43" s="1546"/>
      <c r="IN43" s="1546"/>
      <c r="IO43" s="1546"/>
      <c r="IP43" s="1546"/>
      <c r="IQ43" s="1546"/>
      <c r="IR43" s="1546"/>
      <c r="IS43" s="1546"/>
      <c r="IT43" s="1546"/>
      <c r="IU43" s="1546"/>
      <c r="IV43" s="1546"/>
      <c r="IW43" s="1546"/>
    </row>
    <row r="44" spans="1:257" ht="16.8" customHeight="1" x14ac:dyDescent="0.25">
      <c r="A44" s="1545"/>
      <c r="B44" s="1581" t="s">
        <v>50</v>
      </c>
      <c r="C44" s="1614"/>
      <c r="D44" s="1615" t="s">
        <v>1702</v>
      </c>
      <c r="E44" s="1612"/>
      <c r="F44" s="1612"/>
      <c r="G44" s="1612"/>
      <c r="H44" s="1612"/>
      <c r="I44" s="1612"/>
      <c r="J44" s="1612"/>
      <c r="K44" s="1612"/>
      <c r="L44" s="1612"/>
      <c r="M44" s="1612"/>
      <c r="N44" s="1612"/>
      <c r="O44" s="1612"/>
      <c r="P44" s="1612"/>
      <c r="Q44" s="1612"/>
      <c r="R44" s="1612"/>
      <c r="S44" s="1612"/>
      <c r="T44" s="1612"/>
      <c r="U44" s="1612"/>
      <c r="V44" s="1612"/>
      <c r="W44" s="1612"/>
      <c r="X44" s="1612"/>
      <c r="Y44" s="1612"/>
      <c r="Z44" s="1612"/>
      <c r="AA44" s="1612"/>
      <c r="AB44" s="1612"/>
      <c r="AC44" s="1612"/>
      <c r="AD44" s="1616"/>
      <c r="AE44" s="1617"/>
      <c r="AF44" s="1617"/>
      <c r="AG44" s="1617"/>
      <c r="AH44" s="1617"/>
      <c r="AI44" s="1617"/>
      <c r="AJ44" s="1617"/>
      <c r="AK44" s="1617"/>
      <c r="AL44" s="1617"/>
      <c r="AM44" s="1617"/>
      <c r="AN44" s="1618"/>
    </row>
    <row r="45" spans="1:257" ht="19.8" customHeight="1" x14ac:dyDescent="0.25">
      <c r="A45" s="1545"/>
      <c r="B45" s="1587"/>
      <c r="C45" s="1548"/>
      <c r="D45" s="1604" t="s">
        <v>51</v>
      </c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1605"/>
      <c r="V45" s="1605"/>
      <c r="W45" s="1605"/>
      <c r="X45" s="1605"/>
      <c r="Y45" s="1605"/>
      <c r="Z45" s="1605"/>
      <c r="AA45" s="1605"/>
      <c r="AB45" s="1605"/>
      <c r="AC45" s="1605"/>
      <c r="AD45" s="1605"/>
      <c r="AE45" s="1619"/>
      <c r="AF45" s="1620"/>
      <c r="AG45" s="1620"/>
      <c r="AH45" s="1620"/>
      <c r="AI45" s="1620"/>
      <c r="AJ45" s="1620"/>
      <c r="AK45" s="1620"/>
      <c r="AL45" s="1620"/>
      <c r="AM45" s="1620"/>
      <c r="AN45" s="1551"/>
    </row>
    <row r="46" spans="1:257" ht="8.1" customHeight="1" x14ac:dyDescent="0.25">
      <c r="A46" s="1545"/>
      <c r="B46" s="1548"/>
      <c r="C46" s="1548"/>
      <c r="D46" s="1548"/>
      <c r="E46" s="1548"/>
      <c r="F46" s="1548"/>
      <c r="G46" s="1548"/>
      <c r="H46" s="1548"/>
      <c r="I46" s="1548"/>
      <c r="J46" s="1548"/>
      <c r="K46" s="1548"/>
      <c r="L46" s="1548"/>
      <c r="M46" s="1548"/>
      <c r="N46" s="1548"/>
      <c r="O46" s="1548"/>
      <c r="P46" s="1548"/>
      <c r="Q46" s="1548"/>
      <c r="R46" s="1548"/>
      <c r="S46" s="1548"/>
      <c r="T46" s="1548"/>
      <c r="U46" s="1548"/>
      <c r="V46" s="1548"/>
      <c r="W46" s="1548"/>
      <c r="X46" s="1548"/>
      <c r="Y46" s="1548"/>
      <c r="Z46" s="1548"/>
      <c r="AA46" s="1548"/>
      <c r="AB46" s="1548"/>
      <c r="AC46" s="1548"/>
      <c r="AD46" s="1548"/>
      <c r="AE46" s="1548"/>
      <c r="AF46" s="1548"/>
      <c r="AG46" s="1548"/>
      <c r="AH46" s="1548"/>
      <c r="AI46" s="1548"/>
      <c r="AJ46" s="1548"/>
      <c r="AK46" s="1548"/>
      <c r="AL46" s="1548"/>
      <c r="AM46" s="1548"/>
      <c r="AN46" s="1551"/>
    </row>
    <row r="47" spans="1:257" ht="8.1" customHeight="1" x14ac:dyDescent="0.25">
      <c r="A47" s="1545"/>
      <c r="B47" s="1548"/>
      <c r="C47" s="1621"/>
      <c r="D47" s="1622"/>
      <c r="E47" s="1565"/>
      <c r="F47" s="1565"/>
      <c r="G47" s="1565"/>
      <c r="H47" s="1565"/>
      <c r="I47" s="1565"/>
      <c r="J47" s="1565"/>
      <c r="K47" s="1565"/>
      <c r="L47" s="1565"/>
      <c r="M47" s="1565"/>
      <c r="N47" s="1565"/>
      <c r="O47" s="1565"/>
      <c r="P47" s="1565"/>
      <c r="Q47" s="1565"/>
      <c r="R47" s="1565"/>
      <c r="S47" s="1565"/>
      <c r="T47" s="1565"/>
      <c r="U47" s="1565"/>
      <c r="V47" s="1565"/>
      <c r="W47" s="1565"/>
      <c r="X47" s="1565"/>
      <c r="Y47" s="1565"/>
      <c r="Z47" s="1565"/>
      <c r="AA47" s="1565"/>
      <c r="AB47" s="1565"/>
      <c r="AC47" s="1565"/>
      <c r="AD47" s="1565"/>
      <c r="AE47" s="1565"/>
      <c r="AF47" s="1565"/>
      <c r="AG47" s="1565"/>
      <c r="AH47" s="1565"/>
      <c r="AI47" s="1565"/>
      <c r="AJ47" s="1565"/>
      <c r="AK47" s="1565"/>
      <c r="AL47" s="1565"/>
      <c r="AM47" s="1623"/>
      <c r="AN47" s="1618"/>
    </row>
    <row r="48" spans="1:257" ht="12.75" customHeight="1" x14ac:dyDescent="0.25">
      <c r="A48" s="1545"/>
      <c r="B48" s="1548"/>
      <c r="C48" s="1586"/>
      <c r="D48" s="1615" t="s">
        <v>319</v>
      </c>
      <c r="E48" s="1612"/>
      <c r="F48" s="1612"/>
      <c r="G48" s="1612"/>
      <c r="H48" s="1612"/>
      <c r="I48" s="1612"/>
      <c r="J48" s="1612"/>
      <c r="K48" s="161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3"/>
      <c r="AN48" s="1610"/>
    </row>
    <row r="49" spans="1:40" ht="19.8" customHeight="1" x14ac:dyDescent="0.25">
      <c r="A49" s="1545"/>
      <c r="B49" s="1548"/>
      <c r="C49" s="1548"/>
      <c r="D49" s="1604" t="s">
        <v>52</v>
      </c>
      <c r="E49" s="1605"/>
      <c r="F49" s="1605"/>
      <c r="G49" s="1605"/>
      <c r="H49" s="1605"/>
      <c r="I49" s="1605"/>
      <c r="J49" s="1605"/>
      <c r="K49" s="1605"/>
      <c r="L49" s="1605"/>
      <c r="M49" s="1605"/>
      <c r="N49" s="1605"/>
      <c r="O49" s="1605"/>
      <c r="P49" s="1605"/>
      <c r="Q49" s="1605"/>
      <c r="R49" s="1605"/>
      <c r="S49" s="1605"/>
      <c r="T49" s="1605"/>
      <c r="U49" s="1605"/>
      <c r="V49" s="1605"/>
      <c r="W49" s="1605"/>
      <c r="X49" s="1605"/>
      <c r="Y49" s="1605"/>
      <c r="Z49" s="1605"/>
      <c r="AA49" s="1605"/>
      <c r="AB49" s="1605"/>
      <c r="AC49" s="1605"/>
      <c r="AD49" s="1605"/>
      <c r="AE49" s="1605"/>
      <c r="AF49" s="1605"/>
      <c r="AG49" s="1605"/>
      <c r="AH49" s="1605"/>
      <c r="AI49" s="1605"/>
      <c r="AJ49" s="1605"/>
      <c r="AK49" s="1605"/>
      <c r="AL49" s="1605"/>
      <c r="AM49" s="1605"/>
      <c r="AN49" s="1551"/>
    </row>
    <row r="50" spans="1:40" ht="8.1" customHeight="1" x14ac:dyDescent="0.25">
      <c r="A50" s="1545"/>
      <c r="B50" s="1548"/>
      <c r="C50" s="1548"/>
      <c r="D50" s="1548"/>
      <c r="E50" s="1548"/>
      <c r="F50" s="1548"/>
      <c r="G50" s="1548"/>
      <c r="H50" s="1548"/>
      <c r="I50" s="1548"/>
      <c r="J50" s="1548"/>
      <c r="K50" s="1548"/>
      <c r="L50" s="1548"/>
      <c r="M50" s="1548"/>
      <c r="N50" s="1548"/>
      <c r="O50" s="1548"/>
      <c r="P50" s="1548"/>
      <c r="Q50" s="1548"/>
      <c r="R50" s="1548"/>
      <c r="S50" s="1548"/>
      <c r="T50" s="1548"/>
      <c r="U50" s="1548"/>
      <c r="V50" s="1548"/>
      <c r="W50" s="1548"/>
      <c r="X50" s="1548"/>
      <c r="Y50" s="1548"/>
      <c r="Z50" s="1548"/>
      <c r="AA50" s="1548"/>
      <c r="AB50" s="1548"/>
      <c r="AC50" s="1548"/>
      <c r="AD50" s="1548"/>
      <c r="AE50" s="1548"/>
      <c r="AF50" s="1548"/>
      <c r="AG50" s="1548"/>
      <c r="AH50" s="1548"/>
      <c r="AI50" s="1548"/>
      <c r="AJ50" s="1548"/>
      <c r="AK50" s="1548"/>
      <c r="AL50" s="1548"/>
      <c r="AM50" s="1548"/>
      <c r="AN50" s="1551"/>
    </row>
    <row r="51" spans="1:40" ht="8.1" customHeight="1" x14ac:dyDescent="0.25">
      <c r="A51" s="1545"/>
      <c r="B51" s="1548"/>
      <c r="C51" s="1621"/>
      <c r="D51" s="1622"/>
      <c r="E51" s="1565"/>
      <c r="F51" s="1565"/>
      <c r="G51" s="1565"/>
      <c r="H51" s="1565"/>
      <c r="I51" s="1565"/>
      <c r="J51" s="1565"/>
      <c r="K51" s="1565"/>
      <c r="L51" s="1565"/>
      <c r="M51" s="1565"/>
      <c r="N51" s="1565"/>
      <c r="O51" s="1565"/>
      <c r="P51" s="1565"/>
      <c r="Q51" s="1565"/>
      <c r="R51" s="1565"/>
      <c r="S51" s="1565"/>
      <c r="T51" s="1565"/>
      <c r="U51" s="1565"/>
      <c r="V51" s="1565"/>
      <c r="W51" s="1565"/>
      <c r="X51" s="1565"/>
      <c r="Y51" s="1565"/>
      <c r="Z51" s="1565"/>
      <c r="AA51" s="1565"/>
      <c r="AB51" s="1565"/>
      <c r="AC51" s="1565"/>
      <c r="AD51" s="1565"/>
      <c r="AE51" s="1565"/>
      <c r="AF51" s="1565"/>
      <c r="AG51" s="1565"/>
      <c r="AH51" s="1565"/>
      <c r="AI51" s="1565"/>
      <c r="AJ51" s="1565"/>
      <c r="AK51" s="1565"/>
      <c r="AL51" s="1565"/>
      <c r="AM51" s="1623"/>
      <c r="AN51" s="1618"/>
    </row>
    <row r="52" spans="1:40" ht="20.399999999999999" customHeight="1" x14ac:dyDescent="0.25">
      <c r="A52" s="1545"/>
      <c r="B52" s="1548"/>
      <c r="C52" s="1586"/>
      <c r="D52" s="1624" t="s">
        <v>1703</v>
      </c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2"/>
      <c r="R52" s="1612"/>
      <c r="S52" s="1612"/>
      <c r="T52" s="1612"/>
      <c r="U52" s="1612"/>
      <c r="V52" s="1612"/>
      <c r="W52" s="1612"/>
      <c r="X52" s="1612"/>
      <c r="Y52" s="1612"/>
      <c r="Z52" s="1612"/>
      <c r="AA52" s="1612"/>
      <c r="AB52" s="1612"/>
      <c r="AC52" s="1612"/>
      <c r="AD52" s="1612"/>
      <c r="AE52" s="1612"/>
      <c r="AF52" s="1612"/>
      <c r="AG52" s="1612"/>
      <c r="AH52" s="1612"/>
      <c r="AI52" s="1612"/>
      <c r="AJ52" s="1612"/>
      <c r="AK52" s="1612"/>
      <c r="AL52" s="1612"/>
      <c r="AM52" s="1613"/>
      <c r="AN52" s="1610"/>
    </row>
    <row r="53" spans="1:40" ht="28.2" customHeight="1" x14ac:dyDescent="0.25">
      <c r="A53" s="1545"/>
      <c r="B53" s="1548"/>
      <c r="C53" s="1548"/>
      <c r="D53" s="1625" t="s">
        <v>53</v>
      </c>
      <c r="E53" s="1626"/>
      <c r="F53" s="1626"/>
      <c r="G53" s="1626"/>
      <c r="H53" s="1626"/>
      <c r="I53" s="1626"/>
      <c r="J53" s="1626"/>
      <c r="K53" s="1626"/>
      <c r="L53" s="1626"/>
      <c r="M53" s="1626"/>
      <c r="N53" s="1626"/>
      <c r="O53" s="1626"/>
      <c r="P53" s="1626"/>
      <c r="Q53" s="1626"/>
      <c r="R53" s="1626"/>
      <c r="S53" s="1626"/>
      <c r="T53" s="1626"/>
      <c r="U53" s="1626"/>
      <c r="V53" s="1626"/>
      <c r="W53" s="1626"/>
      <c r="X53" s="1626"/>
      <c r="Y53" s="1626"/>
      <c r="Z53" s="1626"/>
      <c r="AA53" s="1626"/>
      <c r="AB53" s="1626"/>
      <c r="AC53" s="1626"/>
      <c r="AD53" s="1626"/>
      <c r="AE53" s="1626"/>
      <c r="AF53" s="1626"/>
      <c r="AG53" s="1626"/>
      <c r="AH53" s="1626"/>
      <c r="AI53" s="1626"/>
      <c r="AJ53" s="1626"/>
      <c r="AK53" s="1626"/>
      <c r="AL53" s="1626"/>
      <c r="AM53" s="1626"/>
      <c r="AN53" s="1551"/>
    </row>
    <row r="54" spans="1:40" ht="8.1" customHeight="1" x14ac:dyDescent="0.25">
      <c r="A54" s="1545"/>
      <c r="B54" s="1548"/>
      <c r="C54" s="1548"/>
      <c r="D54" s="1548"/>
      <c r="E54" s="1548"/>
      <c r="F54" s="1548"/>
      <c r="G54" s="1548"/>
      <c r="H54" s="1548"/>
      <c r="I54" s="1548"/>
      <c r="J54" s="1548"/>
      <c r="K54" s="1548"/>
      <c r="L54" s="1548"/>
      <c r="M54" s="1548"/>
      <c r="N54" s="1548"/>
      <c r="O54" s="1548"/>
      <c r="P54" s="1548"/>
      <c r="Q54" s="1548"/>
      <c r="R54" s="1548"/>
      <c r="S54" s="1548"/>
      <c r="T54" s="1548"/>
      <c r="U54" s="1548"/>
      <c r="V54" s="1548"/>
      <c r="W54" s="1548"/>
      <c r="X54" s="1548"/>
      <c r="Y54" s="1548"/>
      <c r="Z54" s="1548"/>
      <c r="AA54" s="1548"/>
      <c r="AB54" s="1548"/>
      <c r="AC54" s="1548"/>
      <c r="AD54" s="1548"/>
      <c r="AE54" s="1548"/>
      <c r="AF54" s="1548"/>
      <c r="AG54" s="1548"/>
      <c r="AH54" s="1548"/>
      <c r="AI54" s="1548"/>
      <c r="AJ54" s="1548"/>
      <c r="AK54" s="1548"/>
      <c r="AL54" s="1548"/>
      <c r="AM54" s="1548"/>
      <c r="AN54" s="1551"/>
    </row>
    <row r="55" spans="1:40" ht="8.1" customHeight="1" x14ac:dyDescent="0.25">
      <c r="A55" s="1545"/>
      <c r="B55" s="1548"/>
      <c r="C55" s="1621"/>
      <c r="D55" s="1622"/>
      <c r="E55" s="1565"/>
      <c r="F55" s="1565"/>
      <c r="G55" s="1565"/>
      <c r="H55" s="1565"/>
      <c r="I55" s="1565"/>
      <c r="J55" s="1565"/>
      <c r="K55" s="1565"/>
      <c r="L55" s="1565"/>
      <c r="M55" s="1565"/>
      <c r="N55" s="1565"/>
      <c r="O55" s="1565"/>
      <c r="P55" s="1565"/>
      <c r="Q55" s="1565"/>
      <c r="R55" s="1627"/>
      <c r="S55" s="1565"/>
      <c r="T55" s="1565"/>
      <c r="U55" s="1565"/>
      <c r="V55" s="1565"/>
      <c r="W55" s="1565"/>
      <c r="X55" s="1565"/>
      <c r="Y55" s="1565"/>
      <c r="Z55" s="1565"/>
      <c r="AA55" s="1565"/>
      <c r="AB55" s="1565"/>
      <c r="AC55" s="1565"/>
      <c r="AD55" s="1565"/>
      <c r="AE55" s="1565"/>
      <c r="AF55" s="1565"/>
      <c r="AG55" s="1565"/>
      <c r="AH55" s="1565"/>
      <c r="AI55" s="1565"/>
      <c r="AJ55" s="1565"/>
      <c r="AK55" s="1565"/>
      <c r="AL55" s="1565"/>
      <c r="AM55" s="1623"/>
      <c r="AN55" s="1618"/>
    </row>
    <row r="56" spans="1:40" ht="18.600000000000001" customHeight="1" x14ac:dyDescent="0.25">
      <c r="A56" s="1545"/>
      <c r="B56" s="1548"/>
      <c r="C56" s="1586"/>
      <c r="D56" s="1624"/>
      <c r="E56" s="1612"/>
      <c r="F56" s="1612"/>
      <c r="G56" s="1612"/>
      <c r="H56" s="1612"/>
      <c r="I56" s="1612"/>
      <c r="J56" s="1612"/>
      <c r="K56" s="1612"/>
      <c r="L56" s="1612"/>
      <c r="M56" s="1612"/>
      <c r="N56" s="1612"/>
      <c r="O56" s="1612"/>
      <c r="P56" s="1612"/>
      <c r="Q56" s="1612"/>
      <c r="R56" s="1612"/>
      <c r="S56" s="1612"/>
      <c r="T56" s="1612"/>
      <c r="U56" s="1612"/>
      <c r="V56" s="1612"/>
      <c r="W56" s="1612"/>
      <c r="X56" s="1612"/>
      <c r="Y56" s="1612"/>
      <c r="Z56" s="1612"/>
      <c r="AA56" s="1612"/>
      <c r="AB56" s="1612"/>
      <c r="AC56" s="1612"/>
      <c r="AD56" s="1612"/>
      <c r="AE56" s="1612"/>
      <c r="AF56" s="1612"/>
      <c r="AG56" s="1612"/>
      <c r="AH56" s="1612"/>
      <c r="AI56" s="1612"/>
      <c r="AJ56" s="1612"/>
      <c r="AK56" s="1612"/>
      <c r="AL56" s="1612"/>
      <c r="AM56" s="1613"/>
      <c r="AN56" s="1610"/>
    </row>
    <row r="57" spans="1:40" ht="18" customHeight="1" x14ac:dyDescent="0.25">
      <c r="A57" s="1545"/>
      <c r="B57" s="1548"/>
      <c r="C57" s="1548"/>
      <c r="D57" s="1604" t="s">
        <v>54</v>
      </c>
      <c r="E57" s="1605"/>
      <c r="F57" s="1605"/>
      <c r="G57" s="1605"/>
      <c r="H57" s="1605"/>
      <c r="I57" s="1605"/>
      <c r="J57" s="1605"/>
      <c r="K57" s="1605"/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/>
      <c r="AD57" s="1605"/>
      <c r="AE57" s="1605"/>
      <c r="AF57" s="1605"/>
      <c r="AG57" s="1605"/>
      <c r="AH57" s="1605"/>
      <c r="AI57" s="1605"/>
      <c r="AJ57" s="1605"/>
      <c r="AK57" s="1605"/>
      <c r="AL57" s="1605"/>
      <c r="AM57" s="1605"/>
      <c r="AN57" s="1551"/>
    </row>
    <row r="58" spans="1:40" ht="13.8" x14ac:dyDescent="0.25">
      <c r="A58" s="1545"/>
      <c r="B58" s="1548"/>
      <c r="C58" s="1621"/>
      <c r="D58" s="1628"/>
      <c r="E58" s="1557"/>
      <c r="F58" s="1557"/>
      <c r="G58" s="1557"/>
      <c r="H58" s="1557"/>
      <c r="I58" s="1557"/>
      <c r="J58" s="1557"/>
      <c r="K58" s="1557"/>
      <c r="L58" s="1557"/>
      <c r="M58" s="1557"/>
      <c r="N58" s="1557"/>
      <c r="O58" s="1557"/>
      <c r="P58" s="1557"/>
      <c r="Q58" s="1557"/>
      <c r="R58" s="1557"/>
      <c r="S58" s="1557"/>
      <c r="T58" s="1557"/>
      <c r="U58" s="1557"/>
      <c r="V58" s="1557"/>
      <c r="W58" s="1557"/>
      <c r="X58" s="1557"/>
      <c r="Y58" s="1557"/>
      <c r="Z58" s="1557"/>
      <c r="AA58" s="1557"/>
      <c r="AB58" s="1557"/>
      <c r="AC58" s="1557"/>
      <c r="AD58" s="1557"/>
      <c r="AE58" s="1557"/>
      <c r="AF58" s="1557"/>
      <c r="AG58" s="1557"/>
      <c r="AH58" s="1557"/>
      <c r="AI58" s="1557"/>
      <c r="AJ58" s="1557"/>
      <c r="AK58" s="1557"/>
      <c r="AL58" s="1557"/>
      <c r="AM58" s="1629"/>
      <c r="AN58" s="1618"/>
    </row>
    <row r="59" spans="1:40" ht="12.75" customHeight="1" x14ac:dyDescent="0.25">
      <c r="A59" s="1545"/>
      <c r="B59" s="1548"/>
      <c r="C59" s="1586"/>
      <c r="D59" s="1630"/>
      <c r="E59" s="1631"/>
      <c r="F59" s="1631"/>
      <c r="G59" s="1631"/>
      <c r="H59" s="1631"/>
      <c r="I59" s="1631"/>
      <c r="J59" s="1631"/>
      <c r="K59" s="1631"/>
      <c r="L59" s="1631"/>
      <c r="M59" s="1631"/>
      <c r="N59" s="1631"/>
      <c r="O59" s="1631"/>
      <c r="P59" s="1631"/>
      <c r="Q59" s="1631"/>
      <c r="R59" s="1631"/>
      <c r="S59" s="1631"/>
      <c r="T59" s="1631"/>
      <c r="U59" s="1631"/>
      <c r="V59" s="1631"/>
      <c r="W59" s="1631"/>
      <c r="X59" s="1631"/>
      <c r="Y59" s="1631"/>
      <c r="Z59" s="1631"/>
      <c r="AA59" s="1631"/>
      <c r="AB59" s="1631"/>
      <c r="AC59" s="1631"/>
      <c r="AD59" s="1631"/>
      <c r="AE59" s="1631"/>
      <c r="AF59" s="1631"/>
      <c r="AG59" s="1631"/>
      <c r="AH59" s="1631"/>
      <c r="AI59" s="1631"/>
      <c r="AJ59" s="1631"/>
      <c r="AK59" s="1631"/>
      <c r="AL59" s="1631"/>
      <c r="AM59" s="1632"/>
      <c r="AN59" s="1610"/>
    </row>
    <row r="60" spans="1:40" ht="8.1" customHeight="1" x14ac:dyDescent="0.25">
      <c r="A60" s="1545"/>
      <c r="B60" s="1548"/>
      <c r="C60" s="1548"/>
      <c r="D60" s="1587"/>
      <c r="E60" s="1587"/>
      <c r="F60" s="1587"/>
      <c r="G60" s="1587"/>
      <c r="H60" s="1587"/>
      <c r="I60" s="1587"/>
      <c r="J60" s="1587"/>
      <c r="K60" s="1587"/>
      <c r="L60" s="1587"/>
      <c r="M60" s="1587"/>
      <c r="N60" s="1587"/>
      <c r="O60" s="1587"/>
      <c r="P60" s="1587"/>
      <c r="Q60" s="1587"/>
      <c r="R60" s="1587"/>
      <c r="S60" s="1587"/>
      <c r="T60" s="1587"/>
      <c r="U60" s="1587"/>
      <c r="V60" s="1587"/>
      <c r="W60" s="1587"/>
      <c r="X60" s="1587"/>
      <c r="Y60" s="1587"/>
      <c r="Z60" s="1587"/>
      <c r="AA60" s="1587"/>
      <c r="AB60" s="1587"/>
      <c r="AC60" s="1587"/>
      <c r="AD60" s="1587"/>
      <c r="AE60" s="1587"/>
      <c r="AF60" s="1587"/>
      <c r="AG60" s="1587"/>
      <c r="AH60" s="1587"/>
      <c r="AI60" s="1587"/>
      <c r="AJ60" s="1587"/>
      <c r="AK60" s="1587"/>
      <c r="AL60" s="1587"/>
      <c r="AM60" s="1587"/>
      <c r="AN60" s="1551"/>
    </row>
    <row r="61" spans="1:40" ht="8.1" customHeight="1" x14ac:dyDescent="0.25">
      <c r="A61" s="1545"/>
      <c r="B61" s="1548"/>
      <c r="C61" s="1548"/>
      <c r="D61" s="1561"/>
      <c r="E61" s="1561"/>
      <c r="F61" s="1561"/>
      <c r="G61" s="1561"/>
      <c r="H61" s="1561"/>
      <c r="I61" s="1561"/>
      <c r="J61" s="1561"/>
      <c r="K61" s="1561"/>
      <c r="L61" s="1561"/>
      <c r="M61" s="1561"/>
      <c r="N61" s="1561"/>
      <c r="O61" s="1561"/>
      <c r="P61" s="1561"/>
      <c r="Q61" s="1561"/>
      <c r="R61" s="1561"/>
      <c r="S61" s="1561"/>
      <c r="T61" s="1561"/>
      <c r="U61" s="1561"/>
      <c r="V61" s="1561"/>
      <c r="W61" s="1561"/>
      <c r="X61" s="1561"/>
      <c r="Y61" s="1561"/>
      <c r="Z61" s="1561"/>
      <c r="AA61" s="1561"/>
      <c r="AB61" s="1561"/>
      <c r="AC61" s="1561"/>
      <c r="AD61" s="1561"/>
      <c r="AE61" s="1561"/>
      <c r="AF61" s="1561"/>
      <c r="AG61" s="1561"/>
      <c r="AH61" s="1561"/>
      <c r="AI61" s="1561"/>
      <c r="AJ61" s="1561"/>
      <c r="AK61" s="1561"/>
      <c r="AL61" s="1561"/>
      <c r="AM61" s="1561"/>
      <c r="AN61" s="1551"/>
    </row>
    <row r="62" spans="1:40" ht="8.1" customHeight="1" x14ac:dyDescent="0.25">
      <c r="A62" s="1545"/>
      <c r="B62" s="1548"/>
      <c r="C62" s="1548"/>
      <c r="D62" s="1548"/>
      <c r="E62" s="1548"/>
      <c r="F62" s="1548"/>
      <c r="G62" s="1548"/>
      <c r="H62" s="1548"/>
      <c r="I62" s="1548"/>
      <c r="J62" s="1548"/>
      <c r="K62" s="1548"/>
      <c r="L62" s="1548"/>
      <c r="M62" s="1548"/>
      <c r="N62" s="1548"/>
      <c r="O62" s="1548"/>
      <c r="P62" s="1548"/>
      <c r="Q62" s="1548"/>
      <c r="R62" s="1548"/>
      <c r="S62" s="1548"/>
      <c r="T62" s="1548"/>
      <c r="U62" s="1548"/>
      <c r="V62" s="1548"/>
      <c r="W62" s="1548"/>
      <c r="X62" s="1548"/>
      <c r="Y62" s="1548"/>
      <c r="Z62" s="1548"/>
      <c r="AA62" s="1548"/>
      <c r="AB62" s="1548"/>
      <c r="AC62" s="1548"/>
      <c r="AD62" s="1548"/>
      <c r="AE62" s="1548"/>
      <c r="AF62" s="1548"/>
      <c r="AG62" s="1548"/>
      <c r="AH62" s="1548"/>
      <c r="AI62" s="1548"/>
      <c r="AJ62" s="1548"/>
      <c r="AK62" s="1548"/>
      <c r="AL62" s="1548"/>
      <c r="AM62" s="1548"/>
      <c r="AN62" s="1551"/>
    </row>
    <row r="63" spans="1:40" ht="8.1" customHeight="1" x14ac:dyDescent="0.25">
      <c r="A63" s="1545"/>
      <c r="B63" s="1586"/>
      <c r="C63" s="1633"/>
      <c r="D63" s="1631"/>
      <c r="E63" s="1634"/>
      <c r="F63" s="1634"/>
      <c r="G63" s="1634"/>
      <c r="H63" s="1634"/>
      <c r="I63" s="1634"/>
      <c r="J63" s="1631"/>
      <c r="K63" s="1634"/>
      <c r="L63" s="1634"/>
      <c r="M63" s="1634"/>
      <c r="N63" s="1631"/>
      <c r="O63" s="1634"/>
      <c r="P63" s="1634"/>
      <c r="Q63" s="1634"/>
      <c r="R63" s="1634"/>
      <c r="S63" s="1631"/>
      <c r="T63" s="1634"/>
      <c r="U63" s="1634"/>
      <c r="V63" s="1634"/>
      <c r="W63" s="1635"/>
      <c r="X63" s="1633"/>
      <c r="Y63" s="1631"/>
      <c r="Z63" s="1634"/>
      <c r="AA63" s="1634"/>
      <c r="AB63" s="1634"/>
      <c r="AC63" s="1634"/>
      <c r="AD63" s="1634"/>
      <c r="AE63" s="1606"/>
      <c r="AF63" s="1634"/>
      <c r="AG63" s="1634"/>
      <c r="AH63" s="1634"/>
      <c r="AI63" s="1634"/>
      <c r="AJ63" s="1606"/>
      <c r="AK63" s="1634"/>
      <c r="AL63" s="1634"/>
      <c r="AM63" s="1634"/>
      <c r="AN63" s="1551"/>
    </row>
    <row r="64" spans="1:40" ht="25.95" customHeight="1" x14ac:dyDescent="0.25">
      <c r="A64" s="1545"/>
      <c r="B64" s="1586"/>
      <c r="C64" s="1636"/>
      <c r="D64" s="1581"/>
      <c r="E64" s="1637" t="s">
        <v>55</v>
      </c>
      <c r="F64" s="1634"/>
      <c r="G64" s="1634"/>
      <c r="H64" s="1634"/>
      <c r="I64" s="1635"/>
      <c r="J64" s="1638"/>
      <c r="K64" s="1639" t="s">
        <v>56</v>
      </c>
      <c r="L64" s="1640"/>
      <c r="M64" s="1641"/>
      <c r="N64" s="1638"/>
      <c r="O64" s="1639" t="s">
        <v>57</v>
      </c>
      <c r="P64" s="1640"/>
      <c r="Q64" s="1640"/>
      <c r="R64" s="1635"/>
      <c r="S64" s="1638" t="s">
        <v>11</v>
      </c>
      <c r="T64" s="1639" t="s">
        <v>58</v>
      </c>
      <c r="U64" s="1640"/>
      <c r="V64" s="1640"/>
      <c r="W64" s="1635"/>
      <c r="X64" s="1636"/>
      <c r="Y64" s="1642"/>
      <c r="Z64" s="1637" t="s">
        <v>55</v>
      </c>
      <c r="AA64" s="1634"/>
      <c r="AB64" s="1634"/>
      <c r="AC64" s="1634"/>
      <c r="AD64" s="1643"/>
      <c r="AE64" s="1580"/>
      <c r="AF64" s="1638"/>
      <c r="AG64" s="1637" t="s">
        <v>59</v>
      </c>
      <c r="AH64" s="1634"/>
      <c r="AI64" s="1621"/>
      <c r="AJ64" s="1644"/>
      <c r="AK64" s="1581" t="s">
        <v>11</v>
      </c>
      <c r="AL64" s="1637" t="s">
        <v>60</v>
      </c>
      <c r="AM64" s="1635"/>
      <c r="AN64" s="1610"/>
    </row>
    <row r="65" spans="1:40" ht="10.8" customHeight="1" x14ac:dyDescent="0.25">
      <c r="A65" s="1545"/>
      <c r="B65" s="1586"/>
      <c r="C65" s="1630"/>
      <c r="D65" s="1645"/>
      <c r="E65" s="1631"/>
      <c r="F65" s="1631"/>
      <c r="G65" s="1631"/>
      <c r="H65" s="1631"/>
      <c r="I65" s="1631"/>
      <c r="J65" s="1645"/>
      <c r="K65" s="1631"/>
      <c r="L65" s="1631"/>
      <c r="M65" s="1631"/>
      <c r="N65" s="1645"/>
      <c r="O65" s="1631"/>
      <c r="P65" s="1631"/>
      <c r="Q65" s="1631"/>
      <c r="R65" s="1631"/>
      <c r="S65" s="1645"/>
      <c r="T65" s="1631"/>
      <c r="U65" s="1631"/>
      <c r="V65" s="1631"/>
      <c r="W65" s="1632"/>
      <c r="X65" s="1630"/>
      <c r="Y65" s="1645"/>
      <c r="Z65" s="1631"/>
      <c r="AA65" s="1631"/>
      <c r="AB65" s="1631"/>
      <c r="AC65" s="1631"/>
      <c r="AD65" s="1631"/>
      <c r="AE65" s="1646"/>
      <c r="AF65" s="1631"/>
      <c r="AG65" s="1631"/>
      <c r="AH65" s="1631"/>
      <c r="AI65" s="1631"/>
      <c r="AJ65" s="1646"/>
      <c r="AK65" s="1631"/>
      <c r="AL65" s="1631"/>
      <c r="AM65" s="1632"/>
      <c r="AN65" s="1610"/>
    </row>
    <row r="66" spans="1:40" ht="22.5" customHeight="1" x14ac:dyDescent="0.25">
      <c r="A66" s="1545"/>
      <c r="B66" s="1548"/>
      <c r="C66" s="1604" t="s">
        <v>61</v>
      </c>
      <c r="D66" s="1605"/>
      <c r="E66" s="1605"/>
      <c r="F66" s="1605"/>
      <c r="G66" s="1605"/>
      <c r="H66" s="1605"/>
      <c r="I66" s="1605"/>
      <c r="J66" s="1605"/>
      <c r="K66" s="1605"/>
      <c r="L66" s="1605"/>
      <c r="M66" s="1605"/>
      <c r="N66" s="1605"/>
      <c r="O66" s="1605"/>
      <c r="P66" s="1605"/>
      <c r="Q66" s="1605"/>
      <c r="R66" s="1605"/>
      <c r="S66" s="1605"/>
      <c r="T66" s="1605"/>
      <c r="U66" s="1605"/>
      <c r="V66" s="1605"/>
      <c r="W66" s="1605"/>
      <c r="X66" s="1625" t="s">
        <v>62</v>
      </c>
      <c r="Y66" s="1626"/>
      <c r="Z66" s="1626"/>
      <c r="AA66" s="1626"/>
      <c r="AB66" s="1626"/>
      <c r="AC66" s="1626"/>
      <c r="AD66" s="1626"/>
      <c r="AE66" s="1626"/>
      <c r="AF66" s="1626"/>
      <c r="AG66" s="1626"/>
      <c r="AH66" s="1626"/>
      <c r="AI66" s="1626"/>
      <c r="AJ66" s="1626"/>
      <c r="AK66" s="1626"/>
      <c r="AL66" s="1626"/>
      <c r="AM66" s="1626"/>
      <c r="AN66" s="1551"/>
    </row>
    <row r="67" spans="1:40" ht="10.199999999999999" customHeight="1" x14ac:dyDescent="0.25">
      <c r="A67" s="1545"/>
      <c r="B67" s="1548"/>
      <c r="C67" s="1548"/>
      <c r="D67" s="1548"/>
      <c r="E67" s="1548"/>
      <c r="F67" s="1548"/>
      <c r="G67" s="1548"/>
      <c r="H67" s="1548"/>
      <c r="I67" s="1548"/>
      <c r="J67" s="1548"/>
      <c r="K67" s="1548"/>
      <c r="L67" s="1548"/>
      <c r="M67" s="1548"/>
      <c r="N67" s="1548"/>
      <c r="O67" s="1548"/>
      <c r="P67" s="1548"/>
      <c r="Q67" s="1548"/>
      <c r="R67" s="1548"/>
      <c r="S67" s="1621"/>
      <c r="T67" s="1647"/>
      <c r="U67" s="1548"/>
      <c r="V67" s="1548"/>
      <c r="W67" s="1548"/>
      <c r="X67" s="1548"/>
      <c r="Y67" s="1548"/>
      <c r="Z67" s="1548"/>
      <c r="AA67" s="1548"/>
      <c r="AB67" s="1548"/>
      <c r="AC67" s="1548"/>
      <c r="AD67" s="1548"/>
      <c r="AE67" s="1548"/>
      <c r="AF67" s="1548"/>
      <c r="AG67" s="1548"/>
      <c r="AH67" s="1548"/>
      <c r="AI67" s="1548"/>
      <c r="AJ67" s="1548"/>
      <c r="AK67" s="1548"/>
      <c r="AL67" s="1548"/>
      <c r="AM67" s="1548"/>
      <c r="AN67" s="1618"/>
    </row>
    <row r="68" spans="1:40" ht="10.199999999999999" customHeight="1" x14ac:dyDescent="0.25">
      <c r="A68" s="1545"/>
      <c r="B68" s="1548"/>
      <c r="C68" s="1621"/>
      <c r="D68" s="1622"/>
      <c r="E68" s="1565"/>
      <c r="F68" s="1565"/>
      <c r="G68" s="1565"/>
      <c r="H68" s="1565"/>
      <c r="I68" s="1565"/>
      <c r="J68" s="1565"/>
      <c r="K68" s="1565"/>
      <c r="L68" s="1565"/>
      <c r="M68" s="1565"/>
      <c r="N68" s="1565"/>
      <c r="O68" s="1565"/>
      <c r="P68" s="1565"/>
      <c r="Q68" s="1623"/>
      <c r="R68" s="1647"/>
      <c r="S68" s="1621"/>
      <c r="T68" s="1648"/>
      <c r="U68" s="1649"/>
      <c r="V68" s="1649"/>
      <c r="W68" s="1649"/>
      <c r="X68" s="1649"/>
      <c r="Y68" s="1649"/>
      <c r="Z68" s="1649"/>
      <c r="AA68" s="1649"/>
      <c r="AB68" s="1649"/>
      <c r="AC68" s="1649"/>
      <c r="AD68" s="1649"/>
      <c r="AE68" s="1649"/>
      <c r="AF68" s="1649"/>
      <c r="AG68" s="1649"/>
      <c r="AH68" s="1649"/>
      <c r="AI68" s="1649"/>
      <c r="AJ68" s="1649"/>
      <c r="AK68" s="1649"/>
      <c r="AL68" s="1649"/>
      <c r="AM68" s="1649"/>
      <c r="AN68" s="1618"/>
    </row>
    <row r="69" spans="1:40" ht="15.6" customHeight="1" x14ac:dyDescent="0.25">
      <c r="A69" s="1545"/>
      <c r="B69" s="1548"/>
      <c r="C69" s="1586"/>
      <c r="D69" s="1615"/>
      <c r="E69" s="1612"/>
      <c r="F69" s="1612"/>
      <c r="G69" s="1612"/>
      <c r="H69" s="1612"/>
      <c r="I69" s="1612"/>
      <c r="J69" s="1612"/>
      <c r="K69" s="1612"/>
      <c r="L69" s="1612"/>
      <c r="M69" s="1612"/>
      <c r="N69" s="1612"/>
      <c r="O69" s="1612"/>
      <c r="P69" s="1612"/>
      <c r="Q69" s="1613"/>
      <c r="R69" s="1582"/>
      <c r="S69" s="1586"/>
      <c r="T69" s="1650" t="s">
        <v>63</v>
      </c>
      <c r="U69" s="1651"/>
      <c r="V69" s="1651"/>
      <c r="W69" s="1651"/>
      <c r="X69" s="1651"/>
      <c r="Y69" s="1651"/>
      <c r="Z69" s="1651"/>
      <c r="AA69" s="1651"/>
      <c r="AB69" s="1651"/>
      <c r="AC69" s="1651"/>
      <c r="AD69" s="1651"/>
      <c r="AE69" s="1651"/>
      <c r="AF69" s="1651"/>
      <c r="AG69" s="1651"/>
      <c r="AH69" s="1651"/>
      <c r="AI69" s="1651"/>
      <c r="AJ69" s="1651"/>
      <c r="AK69" s="1651"/>
      <c r="AL69" s="1651"/>
      <c r="AM69" s="1652"/>
      <c r="AN69" s="1610"/>
    </row>
    <row r="70" spans="1:40" ht="18" customHeight="1" x14ac:dyDescent="0.25">
      <c r="A70" s="1545"/>
      <c r="B70" s="1548"/>
      <c r="C70" s="1548"/>
      <c r="D70" s="1604" t="s">
        <v>64</v>
      </c>
      <c r="E70" s="1605"/>
      <c r="F70" s="1605"/>
      <c r="G70" s="1605"/>
      <c r="H70" s="1605"/>
      <c r="I70" s="1605"/>
      <c r="J70" s="1605"/>
      <c r="K70" s="1605"/>
      <c r="L70" s="1605"/>
      <c r="M70" s="1605"/>
      <c r="N70" s="1605"/>
      <c r="O70" s="1605"/>
      <c r="P70" s="1605"/>
      <c r="Q70" s="1605"/>
      <c r="R70" s="1548"/>
      <c r="S70" s="1586"/>
      <c r="T70" s="1653" t="s">
        <v>65</v>
      </c>
      <c r="U70" s="1654"/>
      <c r="V70" s="1654"/>
      <c r="W70" s="1654"/>
      <c r="X70" s="1654"/>
      <c r="Y70" s="1654"/>
      <c r="Z70" s="1654"/>
      <c r="AA70" s="1654"/>
      <c r="AB70" s="1654"/>
      <c r="AC70" s="1655"/>
      <c r="AD70" s="1653" t="s">
        <v>66</v>
      </c>
      <c r="AE70" s="1654"/>
      <c r="AF70" s="1654"/>
      <c r="AG70" s="1654"/>
      <c r="AH70" s="1654"/>
      <c r="AI70" s="1654"/>
      <c r="AJ70" s="1654"/>
      <c r="AK70" s="1654"/>
      <c r="AL70" s="1654"/>
      <c r="AM70" s="1655"/>
      <c r="AN70" s="1610"/>
    </row>
    <row r="71" spans="1:40" ht="18" customHeight="1" x14ac:dyDescent="0.25">
      <c r="A71" s="1545"/>
      <c r="B71" s="1548"/>
      <c r="C71" s="1548"/>
      <c r="D71" s="1548"/>
      <c r="E71" s="1548"/>
      <c r="F71" s="1548"/>
      <c r="G71" s="1548"/>
      <c r="H71" s="1548"/>
      <c r="I71" s="1548"/>
      <c r="J71" s="1548"/>
      <c r="K71" s="1548"/>
      <c r="L71" s="1548"/>
      <c r="M71" s="1548"/>
      <c r="N71" s="1548"/>
      <c r="O71" s="1548"/>
      <c r="P71" s="1548"/>
      <c r="Q71" s="1548"/>
      <c r="R71" s="1548"/>
      <c r="S71" s="1586"/>
      <c r="T71" s="1656" t="s">
        <v>1518</v>
      </c>
      <c r="U71" s="1657"/>
      <c r="V71" s="1657"/>
      <c r="W71" s="1657"/>
      <c r="X71" s="1657"/>
      <c r="Y71" s="1657"/>
      <c r="Z71" s="1657"/>
      <c r="AA71" s="1657"/>
      <c r="AB71" s="1657"/>
      <c r="AC71" s="1658"/>
      <c r="AD71" s="1656" t="s">
        <v>1704</v>
      </c>
      <c r="AE71" s="1657"/>
      <c r="AF71" s="1657"/>
      <c r="AG71" s="1657"/>
      <c r="AH71" s="1657"/>
      <c r="AI71" s="1657"/>
      <c r="AJ71" s="1657"/>
      <c r="AK71" s="1657"/>
      <c r="AL71" s="1657"/>
      <c r="AM71" s="1658"/>
      <c r="AN71" s="1610"/>
    </row>
    <row r="72" spans="1:40" ht="12.75" customHeight="1" x14ac:dyDescent="0.25">
      <c r="A72" s="1545"/>
      <c r="B72" s="1548"/>
      <c r="C72" s="1586"/>
      <c r="D72" s="1615"/>
      <c r="E72" s="1612"/>
      <c r="F72" s="1612"/>
      <c r="G72" s="1612"/>
      <c r="H72" s="1612"/>
      <c r="I72" s="1612"/>
      <c r="J72" s="1612"/>
      <c r="K72" s="1612"/>
      <c r="L72" s="1612"/>
      <c r="M72" s="1612"/>
      <c r="N72" s="1612"/>
      <c r="O72" s="1612"/>
      <c r="P72" s="1612"/>
      <c r="Q72" s="1613"/>
      <c r="R72" s="1582"/>
      <c r="S72" s="1586"/>
      <c r="T72" s="1659"/>
      <c r="U72" s="1660"/>
      <c r="V72" s="1660"/>
      <c r="W72" s="1660"/>
      <c r="X72" s="1660"/>
      <c r="Y72" s="1660"/>
      <c r="Z72" s="1660"/>
      <c r="AA72" s="1660"/>
      <c r="AB72" s="1660"/>
      <c r="AC72" s="1661"/>
      <c r="AD72" s="1662"/>
      <c r="AE72" s="1660"/>
      <c r="AF72" s="1660"/>
      <c r="AG72" s="1660"/>
      <c r="AH72" s="1660"/>
      <c r="AI72" s="1660"/>
      <c r="AJ72" s="1660"/>
      <c r="AK72" s="1660"/>
      <c r="AL72" s="1660"/>
      <c r="AM72" s="1661"/>
      <c r="AN72" s="1610"/>
    </row>
    <row r="73" spans="1:40" ht="12.75" customHeight="1" x14ac:dyDescent="0.25">
      <c r="A73" s="1545"/>
      <c r="B73" s="1548"/>
      <c r="C73" s="1548"/>
      <c r="D73" s="1604" t="s">
        <v>67</v>
      </c>
      <c r="E73" s="1605"/>
      <c r="F73" s="1605"/>
      <c r="G73" s="1605"/>
      <c r="H73" s="1605"/>
      <c r="I73" s="1605"/>
      <c r="J73" s="1605"/>
      <c r="K73" s="1605"/>
      <c r="L73" s="1605"/>
      <c r="M73" s="1605"/>
      <c r="N73" s="1605"/>
      <c r="O73" s="1605"/>
      <c r="P73" s="1605"/>
      <c r="Q73" s="1605"/>
      <c r="R73" s="1548"/>
      <c r="S73" s="1586"/>
      <c r="T73" s="1663"/>
      <c r="U73" s="1660"/>
      <c r="V73" s="1660"/>
      <c r="W73" s="1660"/>
      <c r="X73" s="1660"/>
      <c r="Y73" s="1660"/>
      <c r="Z73" s="1660"/>
      <c r="AA73" s="1660"/>
      <c r="AB73" s="1660"/>
      <c r="AC73" s="1661"/>
      <c r="AD73" s="1663"/>
      <c r="AE73" s="1660"/>
      <c r="AF73" s="1660"/>
      <c r="AG73" s="1660"/>
      <c r="AH73" s="1660"/>
      <c r="AI73" s="1660"/>
      <c r="AJ73" s="1660"/>
      <c r="AK73" s="1660"/>
      <c r="AL73" s="1660"/>
      <c r="AM73" s="1661"/>
      <c r="AN73" s="1610"/>
    </row>
    <row r="74" spans="1:40" ht="12.75" customHeight="1" x14ac:dyDescent="0.25">
      <c r="A74" s="1545"/>
      <c r="B74" s="1548"/>
      <c r="C74" s="1548"/>
      <c r="D74" s="1548"/>
      <c r="E74" s="1548"/>
      <c r="F74" s="1548"/>
      <c r="G74" s="1548"/>
      <c r="H74" s="1548"/>
      <c r="I74" s="1548"/>
      <c r="J74" s="1548"/>
      <c r="K74" s="1548"/>
      <c r="L74" s="1548"/>
      <c r="M74" s="1548"/>
      <c r="N74" s="1548"/>
      <c r="O74" s="1548"/>
      <c r="P74" s="1548"/>
      <c r="Q74" s="1548"/>
      <c r="R74" s="1548"/>
      <c r="S74" s="1586"/>
      <c r="T74" s="1659"/>
      <c r="U74" s="1660"/>
      <c r="V74" s="1660"/>
      <c r="W74" s="1660"/>
      <c r="X74" s="1660"/>
      <c r="Y74" s="1660"/>
      <c r="Z74" s="1660"/>
      <c r="AA74" s="1660"/>
      <c r="AB74" s="1660"/>
      <c r="AC74" s="1661"/>
      <c r="AD74" s="1659"/>
      <c r="AE74" s="1660"/>
      <c r="AF74" s="1660"/>
      <c r="AG74" s="1660"/>
      <c r="AH74" s="1660"/>
      <c r="AI74" s="1660"/>
      <c r="AJ74" s="1660"/>
      <c r="AK74" s="1660"/>
      <c r="AL74" s="1660"/>
      <c r="AM74" s="1661"/>
      <c r="AN74" s="1610"/>
    </row>
    <row r="75" spans="1:40" ht="12.75" customHeight="1" x14ac:dyDescent="0.25">
      <c r="A75" s="1545"/>
      <c r="B75" s="1548"/>
      <c r="C75" s="1586"/>
      <c r="D75" s="1664"/>
      <c r="E75" s="1612"/>
      <c r="F75" s="1612"/>
      <c r="G75" s="1612"/>
      <c r="H75" s="1612"/>
      <c r="I75" s="1612"/>
      <c r="J75" s="1612"/>
      <c r="K75" s="1612"/>
      <c r="L75" s="1612"/>
      <c r="M75" s="1612"/>
      <c r="N75" s="1612"/>
      <c r="O75" s="1612"/>
      <c r="P75" s="1612"/>
      <c r="Q75" s="1613"/>
      <c r="R75" s="1582"/>
      <c r="S75" s="1586"/>
      <c r="T75" s="1665"/>
      <c r="U75" s="1666"/>
      <c r="V75" s="1666"/>
      <c r="W75" s="1666"/>
      <c r="X75" s="1666"/>
      <c r="Y75" s="1666"/>
      <c r="Z75" s="1666"/>
      <c r="AA75" s="1666"/>
      <c r="AB75" s="1666"/>
      <c r="AC75" s="1667"/>
      <c r="AD75" s="1665"/>
      <c r="AE75" s="1666"/>
      <c r="AF75" s="1666"/>
      <c r="AG75" s="1666"/>
      <c r="AH75" s="1666"/>
      <c r="AI75" s="1666"/>
      <c r="AJ75" s="1666"/>
      <c r="AK75" s="1666"/>
      <c r="AL75" s="1666"/>
      <c r="AM75" s="1667"/>
      <c r="AN75" s="1610"/>
    </row>
    <row r="76" spans="1:40" ht="12.75" customHeight="1" x14ac:dyDescent="0.25">
      <c r="A76" s="1545"/>
      <c r="B76" s="1548"/>
      <c r="C76" s="1548"/>
      <c r="D76" s="1604" t="s">
        <v>68</v>
      </c>
      <c r="E76" s="1605"/>
      <c r="F76" s="1605"/>
      <c r="G76" s="1605"/>
      <c r="H76" s="1605"/>
      <c r="I76" s="1605"/>
      <c r="J76" s="1605"/>
      <c r="K76" s="1605"/>
      <c r="L76" s="1605"/>
      <c r="M76" s="1605"/>
      <c r="N76" s="1605"/>
      <c r="O76" s="1605"/>
      <c r="P76" s="1605"/>
      <c r="Q76" s="1605"/>
      <c r="R76" s="1548"/>
      <c r="S76" s="1586"/>
      <c r="T76" s="1668"/>
      <c r="U76" s="1669"/>
      <c r="V76" s="1669"/>
      <c r="W76" s="1669"/>
      <c r="X76" s="1669"/>
      <c r="Y76" s="1669"/>
      <c r="Z76" s="1669"/>
      <c r="AA76" s="1669"/>
      <c r="AB76" s="1669"/>
      <c r="AC76" s="1670"/>
      <c r="AD76" s="1668"/>
      <c r="AE76" s="1669"/>
      <c r="AF76" s="1669"/>
      <c r="AG76" s="1669"/>
      <c r="AH76" s="1669"/>
      <c r="AI76" s="1669"/>
      <c r="AJ76" s="1669"/>
      <c r="AK76" s="1669"/>
      <c r="AL76" s="1669"/>
      <c r="AM76" s="1670"/>
      <c r="AN76" s="1610"/>
    </row>
    <row r="77" spans="1:40" ht="12.75" customHeight="1" x14ac:dyDescent="0.25">
      <c r="A77" s="1545"/>
      <c r="B77" s="1548"/>
      <c r="C77" s="1548"/>
      <c r="D77" s="1649"/>
      <c r="E77" s="1649"/>
      <c r="F77" s="1649"/>
      <c r="G77" s="1649"/>
      <c r="H77" s="1649"/>
      <c r="I77" s="1649"/>
      <c r="J77" s="1649"/>
      <c r="K77" s="1649"/>
      <c r="L77" s="1649"/>
      <c r="M77" s="1649"/>
      <c r="N77" s="1649"/>
      <c r="O77" s="1649"/>
      <c r="P77" s="1649"/>
      <c r="Q77" s="1649"/>
      <c r="R77" s="1548"/>
      <c r="S77" s="1586"/>
      <c r="T77" s="1668"/>
      <c r="U77" s="1669"/>
      <c r="V77" s="1669"/>
      <c r="W77" s="1669"/>
      <c r="X77" s="1669"/>
      <c r="Y77" s="1669"/>
      <c r="Z77" s="1669"/>
      <c r="AA77" s="1669"/>
      <c r="AB77" s="1669"/>
      <c r="AC77" s="1670"/>
      <c r="AD77" s="1668"/>
      <c r="AE77" s="1669"/>
      <c r="AF77" s="1669"/>
      <c r="AG77" s="1669"/>
      <c r="AH77" s="1669"/>
      <c r="AI77" s="1669"/>
      <c r="AJ77" s="1669"/>
      <c r="AK77" s="1669"/>
      <c r="AL77" s="1669"/>
      <c r="AM77" s="1670"/>
      <c r="AN77" s="1610"/>
    </row>
    <row r="78" spans="1:40" ht="12.75" customHeight="1" x14ac:dyDescent="0.25">
      <c r="A78" s="1545"/>
      <c r="B78" s="1548"/>
      <c r="C78" s="1586"/>
      <c r="D78" s="1671"/>
      <c r="E78" s="1672"/>
      <c r="F78" s="1672"/>
      <c r="G78" s="1672"/>
      <c r="H78" s="1672"/>
      <c r="I78" s="1672"/>
      <c r="J78" s="1672"/>
      <c r="K78" s="1672"/>
      <c r="L78" s="1672"/>
      <c r="M78" s="1672"/>
      <c r="N78" s="1672"/>
      <c r="O78" s="1672"/>
      <c r="P78" s="1672"/>
      <c r="Q78" s="1673"/>
      <c r="R78" s="1582"/>
      <c r="S78" s="1586"/>
      <c r="T78" s="1668"/>
      <c r="U78" s="1669"/>
      <c r="V78" s="1669"/>
      <c r="W78" s="1669"/>
      <c r="X78" s="1669"/>
      <c r="Y78" s="1669"/>
      <c r="Z78" s="1669"/>
      <c r="AA78" s="1669"/>
      <c r="AB78" s="1669"/>
      <c r="AC78" s="1670"/>
      <c r="AD78" s="1668"/>
      <c r="AE78" s="1669"/>
      <c r="AF78" s="1669"/>
      <c r="AG78" s="1669"/>
      <c r="AH78" s="1669"/>
      <c r="AI78" s="1669"/>
      <c r="AJ78" s="1669"/>
      <c r="AK78" s="1669"/>
      <c r="AL78" s="1669"/>
      <c r="AM78" s="1670"/>
      <c r="AN78" s="1610"/>
    </row>
    <row r="79" spans="1:40" ht="12.75" customHeight="1" x14ac:dyDescent="0.25">
      <c r="A79" s="1545"/>
      <c r="B79" s="1548"/>
      <c r="C79" s="1586"/>
      <c r="D79" s="1674"/>
      <c r="E79" s="1675"/>
      <c r="F79" s="1675"/>
      <c r="G79" s="1675"/>
      <c r="H79" s="1675"/>
      <c r="I79" s="1675"/>
      <c r="J79" s="1675"/>
      <c r="K79" s="1675"/>
      <c r="L79" s="1675"/>
      <c r="M79" s="1675"/>
      <c r="N79" s="1675"/>
      <c r="O79" s="1675"/>
      <c r="P79" s="1675"/>
      <c r="Q79" s="1676"/>
      <c r="R79" s="1582"/>
      <c r="S79" s="1586"/>
      <c r="T79" s="1668"/>
      <c r="U79" s="1669"/>
      <c r="V79" s="1669"/>
      <c r="W79" s="1669"/>
      <c r="X79" s="1669"/>
      <c r="Y79" s="1669"/>
      <c r="Z79" s="1669"/>
      <c r="AA79" s="1669"/>
      <c r="AB79" s="1669"/>
      <c r="AC79" s="1670"/>
      <c r="AD79" s="1668"/>
      <c r="AE79" s="1669"/>
      <c r="AF79" s="1669"/>
      <c r="AG79" s="1669"/>
      <c r="AH79" s="1669"/>
      <c r="AI79" s="1669"/>
      <c r="AJ79" s="1669"/>
      <c r="AK79" s="1669"/>
      <c r="AL79" s="1669"/>
      <c r="AM79" s="1670"/>
      <c r="AN79" s="1610"/>
    </row>
    <row r="80" spans="1:40" ht="12.75" customHeight="1" x14ac:dyDescent="0.25">
      <c r="A80" s="1545"/>
      <c r="B80" s="1548"/>
      <c r="C80" s="1586"/>
      <c r="D80" s="1674"/>
      <c r="E80" s="1675"/>
      <c r="F80" s="1675"/>
      <c r="G80" s="1675"/>
      <c r="H80" s="1675"/>
      <c r="I80" s="1675"/>
      <c r="J80" s="1675"/>
      <c r="K80" s="1675"/>
      <c r="L80" s="1675"/>
      <c r="M80" s="1675"/>
      <c r="N80" s="1675"/>
      <c r="O80" s="1675"/>
      <c r="P80" s="1675"/>
      <c r="Q80" s="1676"/>
      <c r="R80" s="1582"/>
      <c r="S80" s="1586"/>
      <c r="T80" s="1668"/>
      <c r="U80" s="1669"/>
      <c r="V80" s="1669"/>
      <c r="W80" s="1669"/>
      <c r="X80" s="1669"/>
      <c r="Y80" s="1669"/>
      <c r="Z80" s="1669"/>
      <c r="AA80" s="1669"/>
      <c r="AB80" s="1669"/>
      <c r="AC80" s="1670"/>
      <c r="AD80" s="1668"/>
      <c r="AE80" s="1669"/>
      <c r="AF80" s="1669"/>
      <c r="AG80" s="1669"/>
      <c r="AH80" s="1669"/>
      <c r="AI80" s="1669"/>
      <c r="AJ80" s="1669"/>
      <c r="AK80" s="1669"/>
      <c r="AL80" s="1669"/>
      <c r="AM80" s="1670"/>
      <c r="AN80" s="1610"/>
    </row>
    <row r="81" spans="1:40" ht="12.75" customHeight="1" x14ac:dyDescent="0.25">
      <c r="A81" s="1545"/>
      <c r="B81" s="1548"/>
      <c r="C81" s="1586"/>
      <c r="D81" s="1674"/>
      <c r="E81" s="1675"/>
      <c r="F81" s="1675"/>
      <c r="G81" s="1675"/>
      <c r="H81" s="1675"/>
      <c r="I81" s="1675"/>
      <c r="J81" s="1675"/>
      <c r="K81" s="1675"/>
      <c r="L81" s="1675"/>
      <c r="M81" s="1675"/>
      <c r="N81" s="1675"/>
      <c r="O81" s="1675"/>
      <c r="P81" s="1675"/>
      <c r="Q81" s="1676"/>
      <c r="R81" s="1582"/>
      <c r="S81" s="1586"/>
      <c r="T81" s="1668"/>
      <c r="U81" s="1669"/>
      <c r="V81" s="1669"/>
      <c r="W81" s="1669"/>
      <c r="X81" s="1669"/>
      <c r="Y81" s="1669"/>
      <c r="Z81" s="1669"/>
      <c r="AA81" s="1669"/>
      <c r="AB81" s="1669"/>
      <c r="AC81" s="1670"/>
      <c r="AD81" s="1668"/>
      <c r="AE81" s="1669"/>
      <c r="AF81" s="1669"/>
      <c r="AG81" s="1669"/>
      <c r="AH81" s="1669"/>
      <c r="AI81" s="1669"/>
      <c r="AJ81" s="1669"/>
      <c r="AK81" s="1669"/>
      <c r="AL81" s="1669"/>
      <c r="AM81" s="1670"/>
      <c r="AN81" s="1610"/>
    </row>
    <row r="82" spans="1:40" ht="12.75" customHeight="1" x14ac:dyDescent="0.25">
      <c r="A82" s="1545"/>
      <c r="B82" s="1548"/>
      <c r="C82" s="1548"/>
      <c r="D82" s="1677"/>
      <c r="E82" s="1678"/>
      <c r="F82" s="1678"/>
      <c r="G82" s="1678"/>
      <c r="H82" s="1678"/>
      <c r="I82" s="1678"/>
      <c r="J82" s="1678"/>
      <c r="K82" s="1678"/>
      <c r="L82" s="1678"/>
      <c r="M82" s="1678"/>
      <c r="N82" s="1678"/>
      <c r="O82" s="1678"/>
      <c r="P82" s="1678"/>
      <c r="Q82" s="1679"/>
      <c r="R82" s="1548"/>
      <c r="S82" s="1586"/>
      <c r="T82" s="1680"/>
      <c r="U82" s="1681"/>
      <c r="V82" s="1681"/>
      <c r="W82" s="1681"/>
      <c r="X82" s="1681"/>
      <c r="Y82" s="1681"/>
      <c r="Z82" s="1681"/>
      <c r="AA82" s="1681"/>
      <c r="AB82" s="1681"/>
      <c r="AC82" s="1682"/>
      <c r="AD82" s="1680"/>
      <c r="AE82" s="1681"/>
      <c r="AF82" s="1681"/>
      <c r="AG82" s="1681"/>
      <c r="AH82" s="1681"/>
      <c r="AI82" s="1681"/>
      <c r="AJ82" s="1681"/>
      <c r="AK82" s="1681"/>
      <c r="AL82" s="1681"/>
      <c r="AM82" s="1682"/>
      <c r="AN82" s="1610"/>
    </row>
    <row r="83" spans="1:40" ht="15.6" customHeight="1" x14ac:dyDescent="0.25">
      <c r="A83" s="1545"/>
      <c r="B83" s="1546"/>
      <c r="C83" s="1546"/>
      <c r="D83" s="1604" t="s">
        <v>69</v>
      </c>
      <c r="E83" s="1605"/>
      <c r="F83" s="1605"/>
      <c r="G83" s="1605"/>
      <c r="H83" s="1605"/>
      <c r="I83" s="1605"/>
      <c r="J83" s="1605"/>
      <c r="K83" s="1605"/>
      <c r="L83" s="1605"/>
      <c r="M83" s="1605"/>
      <c r="N83" s="1605"/>
      <c r="O83" s="1605"/>
      <c r="P83" s="1605"/>
      <c r="Q83" s="1605"/>
      <c r="R83" s="1546"/>
      <c r="S83" s="1546"/>
      <c r="T83" s="1546"/>
      <c r="U83" s="1546"/>
      <c r="V83" s="1546"/>
      <c r="W83" s="1546"/>
      <c r="X83" s="1546"/>
      <c r="Y83" s="1546"/>
      <c r="Z83" s="1546"/>
      <c r="AA83" s="1546"/>
      <c r="AB83" s="1546"/>
      <c r="AC83" s="1546"/>
      <c r="AD83" s="1546"/>
      <c r="AE83" s="1546"/>
      <c r="AF83" s="1546"/>
      <c r="AG83" s="1546"/>
      <c r="AH83" s="1546"/>
      <c r="AI83" s="1546"/>
      <c r="AJ83" s="1546"/>
      <c r="AK83" s="1546"/>
      <c r="AL83" s="1546"/>
      <c r="AM83" s="1546"/>
      <c r="AN83" s="1547"/>
    </row>
    <row r="84" spans="1:40" ht="12.75" customHeight="1" thickBot="1" x14ac:dyDescent="0.3">
      <c r="A84" s="1683"/>
      <c r="B84" s="1684"/>
      <c r="C84" s="1684"/>
      <c r="D84" s="1684"/>
      <c r="E84" s="1684"/>
      <c r="F84" s="1684"/>
      <c r="G84" s="1684"/>
      <c r="H84" s="1684"/>
      <c r="I84" s="1684"/>
      <c r="J84" s="1684"/>
      <c r="K84" s="1684"/>
      <c r="L84" s="1684"/>
      <c r="M84" s="1684"/>
      <c r="N84" s="1684"/>
      <c r="O84" s="1684"/>
      <c r="P84" s="1684"/>
      <c r="Q84" s="1684"/>
      <c r="R84" s="1684"/>
      <c r="S84" s="1684"/>
      <c r="T84" s="1684"/>
      <c r="U84" s="1684"/>
      <c r="V84" s="1684"/>
      <c r="W84" s="1684"/>
      <c r="X84" s="1684"/>
      <c r="Y84" s="1684"/>
      <c r="Z84" s="1684"/>
      <c r="AA84" s="1684"/>
      <c r="AB84" s="1684"/>
      <c r="AC84" s="1684"/>
      <c r="AD84" s="1684"/>
      <c r="AE84" s="1684"/>
      <c r="AF84" s="1684"/>
      <c r="AG84" s="1684"/>
      <c r="AH84" s="1684"/>
      <c r="AI84" s="1684"/>
      <c r="AJ84" s="1684"/>
      <c r="AK84" s="1684"/>
      <c r="AL84" s="1684"/>
      <c r="AM84" s="1684"/>
      <c r="AN84" s="168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81"/>
      <c r="E33" s="2082"/>
      <c r="F33" s="2082"/>
      <c r="G33" s="2082"/>
      <c r="H33" s="2083"/>
      <c r="I33" s="2081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80"/>
      <c r="E34" s="2080"/>
      <c r="F34" s="2080"/>
      <c r="G34" s="2080"/>
      <c r="H34" s="2080"/>
      <c r="I34" s="2080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79"/>
      <c r="D35" s="2084"/>
      <c r="E35" s="2084"/>
      <c r="F35" s="2084"/>
      <c r="G35" s="2084"/>
      <c r="H35" s="2084"/>
      <c r="I35" s="2084"/>
      <c r="J35" s="2078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81"/>
      <c r="E36" s="2082"/>
      <c r="F36" s="2082"/>
      <c r="G36" s="2082"/>
      <c r="H36" s="2083"/>
      <c r="I36" s="2081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81"/>
      <c r="E39" s="2082"/>
      <c r="F39" s="2082"/>
      <c r="G39" s="2082"/>
      <c r="H39" s="2083"/>
      <c r="I39" s="2081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81"/>
      <c r="E42" s="2082"/>
      <c r="F42" s="2082"/>
      <c r="G42" s="2082"/>
      <c r="H42" s="2083"/>
      <c r="I42" s="2081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81"/>
      <c r="E45" s="2082"/>
      <c r="F45" s="2082"/>
      <c r="G45" s="2082"/>
      <c r="H45" s="2083"/>
      <c r="I45" s="2081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81"/>
      <c r="E48" s="2082"/>
      <c r="F48" s="2082"/>
      <c r="G48" s="2082"/>
      <c r="H48" s="2083"/>
      <c r="I48" s="2081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81"/>
      <c r="E51" s="2082"/>
      <c r="F51" s="2082"/>
      <c r="G51" s="2082"/>
      <c r="H51" s="2083"/>
      <c r="I51" s="2081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81"/>
      <c r="E54" s="2082"/>
      <c r="F54" s="2082"/>
      <c r="G54" s="2082"/>
      <c r="H54" s="2083"/>
      <c r="I54" s="2081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30" t="s">
        <v>416</v>
      </c>
      <c r="B2" s="1477" t="str">
        <f>'Fiche de renseignement R1'!$J$4</f>
        <v>AFRICACOLD SARL</v>
      </c>
      <c r="C2" s="1690" t="s">
        <v>417</v>
      </c>
      <c r="D2" s="1690"/>
      <c r="E2" s="1480">
        <f>+'Fiche de renseignement R1'!$V$10</f>
        <v>46022</v>
      </c>
      <c r="F2" s="1481"/>
    </row>
    <row r="3" spans="1:6" ht="30" customHeight="1" x14ac:dyDescent="0.25">
      <c r="A3" s="1689" t="s">
        <v>1715</v>
      </c>
      <c r="B3" s="1478" t="str">
        <f>+'Fiche de renseignement R1'!$J$10</f>
        <v>04395621 2E2</v>
      </c>
      <c r="C3" s="1690" t="s">
        <v>418</v>
      </c>
      <c r="D3" s="1690"/>
      <c r="E3" s="1482">
        <f>+'Fiche de renseignement R1'!$AH$10</f>
        <v>12</v>
      </c>
      <c r="F3" s="1481"/>
    </row>
    <row r="4" spans="1:6" ht="46.8" customHeight="1" x14ac:dyDescent="0.25">
      <c r="A4" s="1689"/>
      <c r="B4" s="1478"/>
      <c r="C4" s="1690"/>
      <c r="D4" s="169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D1" zoomScale="21" zoomScaleNormal="70" workbookViewId="0">
      <selection activeCell="J4" sqref="J3:L4"/>
    </sheetView>
  </sheetViews>
  <sheetFormatPr baseColWidth="10" defaultColWidth="12" defaultRowHeight="37.5" customHeight="1" x14ac:dyDescent="0.25"/>
  <cols>
    <col min="1" max="1" width="23.44140625" style="1906" customWidth="1"/>
    <col min="2" max="2" width="255.44140625" style="1936" customWidth="1"/>
    <col min="3" max="3" width="17.21875" style="1906" customWidth="1"/>
    <col min="4" max="4" width="102.109375" style="1906" customWidth="1"/>
    <col min="5" max="5" width="100.109375" style="1906" customWidth="1"/>
    <col min="6" max="6" width="103.44140625" style="1906" customWidth="1"/>
    <col min="7" max="7" width="108.88671875" style="1906" customWidth="1"/>
    <col min="8" max="8" width="24.5546875" style="1919" customWidth="1"/>
    <col min="9" max="9" width="255.6640625" style="1936" customWidth="1"/>
    <col min="10" max="10" width="17.5546875" style="216" customWidth="1"/>
    <col min="11" max="11" width="117.44140625" style="1906" customWidth="1"/>
    <col min="12" max="12" width="114.6640625" style="190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48.80000000000001" customHeight="1" x14ac:dyDescent="0.45">
      <c r="A3" s="2103" t="s">
        <v>1717</v>
      </c>
      <c r="B3" s="2104"/>
      <c r="C3" s="2104"/>
      <c r="D3" s="2106" t="str">
        <f>'Fiche de renseignement R1'!$J$4</f>
        <v>AFRICACOLD SARL</v>
      </c>
      <c r="E3" s="2106"/>
      <c r="F3" s="2106"/>
      <c r="G3" s="2106"/>
      <c r="H3" s="1907"/>
      <c r="I3" s="1959" t="s">
        <v>417</v>
      </c>
      <c r="J3" s="2108">
        <f>+'Fiche de renseignement R1'!$V$10</f>
        <v>46022</v>
      </c>
      <c r="K3" s="2108"/>
      <c r="L3" s="2109"/>
    </row>
    <row r="4" spans="1:12" s="213" customFormat="1" ht="114.6" customHeight="1" x14ac:dyDescent="0.45">
      <c r="A4" s="2103" t="s">
        <v>1718</v>
      </c>
      <c r="B4" s="2104"/>
      <c r="C4" s="2105"/>
      <c r="D4" s="2107" t="str">
        <f>+'Fiche de renseignement R1'!$J$10</f>
        <v>04395621 2E2</v>
      </c>
      <c r="E4" s="2107"/>
      <c r="F4" s="2107"/>
      <c r="G4" s="2107"/>
      <c r="H4" s="1907"/>
      <c r="I4" s="1959" t="s">
        <v>418</v>
      </c>
      <c r="J4" s="2110">
        <f>+'Fiche de renseignement R1'!$AH$10</f>
        <v>12</v>
      </c>
      <c r="K4" s="2110"/>
      <c r="L4" s="2111"/>
    </row>
    <row r="5" spans="1:12" ht="37.5" customHeight="1" thickBot="1" x14ac:dyDescent="0.3">
      <c r="A5" s="1897"/>
      <c r="B5" s="1925"/>
      <c r="C5" s="1920"/>
      <c r="D5" s="1920"/>
      <c r="E5" s="1920"/>
      <c r="F5" s="1920"/>
      <c r="G5" s="1920"/>
      <c r="H5" s="1908"/>
      <c r="I5" s="1925"/>
      <c r="J5" s="290"/>
      <c r="K5" s="1920"/>
      <c r="L5" s="1978"/>
    </row>
    <row r="6" spans="1:12" s="214" customFormat="1" ht="167.4" customHeight="1" x14ac:dyDescent="0.25">
      <c r="A6" s="1893" t="s">
        <v>199</v>
      </c>
      <c r="B6" s="1484" t="s">
        <v>200</v>
      </c>
      <c r="C6" s="1891" t="s">
        <v>201</v>
      </c>
      <c r="D6" s="1888" t="str">
        <f>IFERROR("Exercice au 31/12/"&amp;YEAR('Fiche de renseignement R1'!V10),"Exercice au 31/12/N")</f>
        <v>Exercice au 31/12/2025</v>
      </c>
      <c r="E6" s="1889"/>
      <c r="F6" s="1890"/>
      <c r="G6" s="1951" t="str">
        <f>IFERROR("Exercice au 31/12/"&amp;YEAR('Fiche de renseignement R1'!Q20),"Exercice au 31/12/N-1")</f>
        <v>Exercice au 31/12/2024</v>
      </c>
      <c r="H6" s="1895" t="s">
        <v>199</v>
      </c>
      <c r="I6" s="1484" t="s">
        <v>202</v>
      </c>
      <c r="J6" s="1891" t="s">
        <v>201</v>
      </c>
      <c r="K6" s="1951" t="str">
        <f>IFERROR("Exercice au 31/12/"&amp;YEAR('Fiche de renseignement R1'!V10),"Exercice au 31/12/N")</f>
        <v>Exercice au 31/12/2025</v>
      </c>
      <c r="L6" s="1951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894"/>
      <c r="B7" s="1485"/>
      <c r="C7" s="1892"/>
      <c r="D7" s="1946" t="s">
        <v>203</v>
      </c>
      <c r="E7" s="1946" t="s">
        <v>204</v>
      </c>
      <c r="F7" s="1937" t="s">
        <v>205</v>
      </c>
      <c r="G7" s="1952" t="s">
        <v>205</v>
      </c>
      <c r="H7" s="1896"/>
      <c r="I7" s="1485"/>
      <c r="J7" s="1892"/>
      <c r="K7" s="1970" t="s">
        <v>205</v>
      </c>
      <c r="L7" s="1979" t="s">
        <v>205</v>
      </c>
    </row>
    <row r="8" spans="1:12" ht="103.8" customHeight="1" x14ac:dyDescent="0.25">
      <c r="A8" s="1898" t="s">
        <v>206</v>
      </c>
      <c r="B8" s="1926" t="s">
        <v>207</v>
      </c>
      <c r="C8" s="1921">
        <v>3</v>
      </c>
      <c r="D8" s="1938">
        <f>+D9+D10+D11+D12</f>
        <v>0</v>
      </c>
      <c r="E8" s="1938">
        <f>+E9+E10+E11+E12</f>
        <v>0</v>
      </c>
      <c r="F8" s="1938">
        <f>+F9+F10+F11+F12</f>
        <v>0</v>
      </c>
      <c r="G8" s="1938">
        <f>+G9+G10+G11+G12</f>
        <v>0</v>
      </c>
      <c r="H8" s="1909" t="s">
        <v>208</v>
      </c>
      <c r="I8" s="1928" t="s">
        <v>209</v>
      </c>
      <c r="J8" s="1483">
        <v>13</v>
      </c>
      <c r="K8" s="1971">
        <f>+SUMIF('BAL N'!J:J,"=101",'BAL N'!H:H)+SUMIF('BAL N'!J:J,"=102",'BAL N'!H:H)+SUMIF('BAL N'!J:J,"=103",'BAL N'!H:H)+SUMIF('BAL N'!J:J,"=104",'BAL N'!H:H)</f>
        <v>145000000</v>
      </c>
      <c r="L8" s="1980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899" t="s">
        <v>210</v>
      </c>
      <c r="B9" s="1927" t="s">
        <v>211</v>
      </c>
      <c r="C9" s="1922"/>
      <c r="D9" s="1947">
        <f>+SUMIF('BAL N'!J:J,"=211",'BAL N'!G:G)+SUMIF('BAL N'!K:K,"=2181",'BAL N'!G:G)+SUMIF('BAL N'!K:K,"=2191",'BAL N'!G:G)</f>
        <v>0</v>
      </c>
      <c r="E9" s="194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9">
        <f>+D9-E9</f>
        <v>0</v>
      </c>
      <c r="G9" s="195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0" t="s">
        <v>212</v>
      </c>
      <c r="I9" s="1960" t="s">
        <v>213</v>
      </c>
      <c r="J9" s="1486">
        <v>13</v>
      </c>
      <c r="K9" s="1971">
        <f>+SUMIF('BAL N'!J:J,"=109",'BAL N'!H:H)</f>
        <v>0</v>
      </c>
      <c r="L9" s="1971">
        <f>+SUMIF('BAL N'!J:J,"=109",'BAL N'!D:D)</f>
        <v>0</v>
      </c>
    </row>
    <row r="10" spans="1:12" s="891" customFormat="1" ht="119.4" customHeight="1" x14ac:dyDescent="0.25">
      <c r="A10" s="1900" t="s">
        <v>214</v>
      </c>
      <c r="B10" s="1928" t="s">
        <v>215</v>
      </c>
      <c r="C10" s="1922"/>
      <c r="D10" s="1948">
        <f>+SUMIF('BAL N'!J:J,"=212",'BAL N'!G:G)+SUMIF('BAL N'!J:J,"=213",'BAL N'!G:G)+SUMIF('BAL N'!J:J,"=214",'BAL N'!G:G)+SUMIF('BAL N'!K:K,"=2193",'BAL N'!G:G)</f>
        <v>0</v>
      </c>
      <c r="E10" s="194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9">
        <f>+D10-E10</f>
        <v>0</v>
      </c>
      <c r="G10" s="195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9" t="s">
        <v>216</v>
      </c>
      <c r="I10" s="1928" t="s">
        <v>217</v>
      </c>
      <c r="J10" s="1483">
        <v>14</v>
      </c>
      <c r="K10" s="1971">
        <f>+SUMIF('BAL N'!J:J,"=105",'BAL N'!H:H)</f>
        <v>0</v>
      </c>
      <c r="L10" s="1971">
        <f>+SUMIF('BAL N'!J:J,"=105",'BAL N'!D:D)</f>
        <v>0</v>
      </c>
    </row>
    <row r="11" spans="1:12" s="891" customFormat="1" ht="119.4" customHeight="1" x14ac:dyDescent="0.25">
      <c r="A11" s="1900" t="s">
        <v>218</v>
      </c>
      <c r="B11" s="1928" t="s">
        <v>219</v>
      </c>
      <c r="C11" s="1922"/>
      <c r="D11" s="1948">
        <f>+SUMIF('BAL N'!J:J,"=215",'BAL N'!G:G)+SUMIF('BAL N'!J:J,"=216",'BAL N'!G:G)</f>
        <v>0</v>
      </c>
      <c r="E11" s="1948">
        <f>+SUMIF('BAL N'!K:K,"=2815",'BAL N'!H:H)+SUMIF('BAL N'!K:K,"=2816",'BAL N'!H:H)+SUMIF('BAL N'!K:K,"=2915",'BAL N'!H:H)+SUMIF('BAL N'!K:K,"=2916",'BAL N'!H:H)</f>
        <v>0</v>
      </c>
      <c r="F11" s="1939">
        <f>+D11-E11</f>
        <v>0</v>
      </c>
      <c r="G11" s="195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9" t="s">
        <v>220</v>
      </c>
      <c r="I11" s="1928" t="s">
        <v>221</v>
      </c>
      <c r="J11" s="1483" t="s">
        <v>222</v>
      </c>
      <c r="K11" s="1971">
        <f>+SUMIF('BAL N'!J:J,"=106",'BAL N'!H:H)</f>
        <v>0</v>
      </c>
      <c r="L11" s="1971">
        <f>+SUMIF('BAL N'!J:J,"=106",'BAL N'!D:D)</f>
        <v>0</v>
      </c>
    </row>
    <row r="12" spans="1:12" s="892" customFormat="1" ht="119.4" customHeight="1" x14ac:dyDescent="0.25">
      <c r="A12" s="1900" t="s">
        <v>223</v>
      </c>
      <c r="B12" s="1928" t="s">
        <v>224</v>
      </c>
      <c r="C12" s="1922"/>
      <c r="D12" s="1948">
        <f>+SUMIF('BAL N'!J:J,"=217",'BAL N'!G:G)+SUMIF('BAL N'!J:J,"=218",'BAL N'!G:G)-SUMIF('BAL N'!K:K,"=2181",'BAL N'!G:G)+SUMIF('BAL N'!K:K,"=2198",'BAL N'!G:G)</f>
        <v>0</v>
      </c>
      <c r="E12" s="1948">
        <f>+SUMIF('BAL N'!K:K,"=2817",'BAL N'!H:H)+SUMIF('BAL N'!K:K,"=2818",'BAL N'!H:H)+SUMIF('BAL N'!K:K,"=2917",'BAL N'!H:H)+SUMIF('BAL N'!K:K,"=2918",'BAL N'!H:H)+SUMIF('BAL N'!K:K,"=2919",'BAL N'!H:H)</f>
        <v>0</v>
      </c>
      <c r="F12" s="1939">
        <f>+D12-E12</f>
        <v>0</v>
      </c>
      <c r="G12" s="195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9" t="s">
        <v>225</v>
      </c>
      <c r="I12" s="1928" t="s">
        <v>226</v>
      </c>
      <c r="J12" s="1483">
        <v>14</v>
      </c>
      <c r="K12" s="1971">
        <f>+SUMIF('BAL N'!J:J,"=111",'BAL N'!H:H)+SUMIF('BAL N'!J:J,"=112",'BAL N'!H:H)+SUMIF('BAL N'!J:J,"=113",'BAL N'!H:H)</f>
        <v>29000000</v>
      </c>
      <c r="L12" s="1971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898" t="s">
        <v>227</v>
      </c>
      <c r="B13" s="1926" t="s">
        <v>228</v>
      </c>
      <c r="C13" s="1921">
        <v>3</v>
      </c>
      <c r="D13" s="1938">
        <f>SUM(D14:D19)</f>
        <v>2627399448</v>
      </c>
      <c r="E13" s="1938">
        <f>SUM(E14:E19)</f>
        <v>1102860588</v>
      </c>
      <c r="F13" s="1938">
        <f>SUM(F14:F19)</f>
        <v>1524538860</v>
      </c>
      <c r="G13" s="1938">
        <f>SUM(G14:G19)</f>
        <v>1494114159</v>
      </c>
      <c r="H13" s="1909" t="s">
        <v>229</v>
      </c>
      <c r="I13" s="1928" t="s">
        <v>230</v>
      </c>
      <c r="J13" s="1483">
        <v>14</v>
      </c>
      <c r="K13" s="1971">
        <f>+SUMIF('BAL N'!J:J,"=118",'BAL N'!H:H)</f>
        <v>1166894798</v>
      </c>
      <c r="L13" s="1971">
        <f>+SUMIF('BAL N'!J:J,"=118",'BAL N'!D:D)</f>
        <v>1069842982</v>
      </c>
    </row>
    <row r="14" spans="1:12" s="891" customFormat="1" ht="174" customHeight="1" x14ac:dyDescent="0.25">
      <c r="A14" s="1901" t="s">
        <v>231</v>
      </c>
      <c r="B14" s="1929" t="s">
        <v>1369</v>
      </c>
      <c r="C14" s="1922"/>
      <c r="D14" s="1949">
        <f>+SUMIF('BAL N'!I:I,"=22",'BAL N'!G:G)</f>
        <v>244469000</v>
      </c>
      <c r="E14" s="1949">
        <f>+SUMIF('BAL N'!J:J,"=282",'BAL N'!H:H)+SUMIF('BAL N'!J:J,"=292",'BAL N'!H:H)</f>
        <v>246850</v>
      </c>
      <c r="F14" s="1940">
        <f t="shared" ref="F14:F19" si="0">+D14-E14</f>
        <v>244222150</v>
      </c>
      <c r="G14" s="1955">
        <f>+SUMIF('BAL N'!I:I,"=22",'BAL N'!C:C)-(SUMIF('BAL N'!J:J,"=282",'BAL N'!D:D)+SUMIF('BAL N'!J:J,"=292",'BAL N'!D:D))</f>
        <v>256405600</v>
      </c>
      <c r="H14" s="1911" t="s">
        <v>232</v>
      </c>
      <c r="I14" s="1961" t="s">
        <v>1322</v>
      </c>
      <c r="J14" s="1487">
        <v>14</v>
      </c>
      <c r="K14" s="1971">
        <f>+SUMIF('BAL N'!I:I,"=12",'BAL N'!H:H)-SUMIF('BAL N'!I:I,"=12",'BAL N'!G:G)</f>
        <v>0</v>
      </c>
      <c r="L14" s="1971">
        <f>+SUMIF('BAL N'!I:I,"=12",'BAL N'!D:D)-SUMIF('BAL N'!I:I,"=12",'BAL N'!C:C)</f>
        <v>0</v>
      </c>
    </row>
    <row r="15" spans="1:12" s="891" customFormat="1" ht="174" customHeight="1" x14ac:dyDescent="0.25">
      <c r="A15" s="1902" t="s">
        <v>234</v>
      </c>
      <c r="B15" s="1930" t="s">
        <v>1370</v>
      </c>
      <c r="C15" s="1922"/>
      <c r="D15" s="1949">
        <f>+SUMIF('BAL N'!J:J,"=231",'BAL N'!G:G)+SUMIF('BAL N'!J:J,"=232",'BAL N'!G:G)+SUMIF('BAL N'!J:J,"=233",'BAL N'!G:G)+SUMIF('BAL N'!J:J,"=237",'BAL N'!G:G)+SUMIF('BAL N'!K:K,"=2391",'BAL N'!G:G)</f>
        <v>1204771015</v>
      </c>
      <c r="E15" s="1949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40">
        <f t="shared" si="0"/>
        <v>824584077</v>
      </c>
      <c r="G15" s="1956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12" t="s">
        <v>235</v>
      </c>
      <c r="I15" s="1962" t="s">
        <v>1777</v>
      </c>
      <c r="J15" s="1488"/>
      <c r="K15" s="1971">
        <f>+SUMIF('BAL N'!M:M,"=7",'BAL N'!H:H)+SUMIF('BAL N'!M:M,"=8",'BAL N'!H:H)-SUMIF('BAL N'!M:M,"=6",'BAL N'!G:G)-SUMIF('BAL N'!M:M,"=8",'BAL N'!G:G)+SUMIF('BAL N'!J:J,"=603",'BAL N'!H:H)</f>
        <v>336193860</v>
      </c>
      <c r="L15" s="197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899" t="s">
        <v>236</v>
      </c>
      <c r="B16" s="1927" t="s">
        <v>237</v>
      </c>
      <c r="C16" s="1922"/>
      <c r="D16" s="1947">
        <f>+SUMIF('BAL N'!J:J,"=234",'BAL N'!G:G)+SUMIF('BAL N'!J:J,"=235",'BAL N'!G:G)+SUMIF('BAL N'!J:J,"=238",'BAL N'!G:G)+SUMIF('BAL N'!J:J,"=239",'BAL N'!G:G)</f>
        <v>531678197</v>
      </c>
      <c r="E16" s="194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40">
        <f t="shared" si="0"/>
        <v>274435562</v>
      </c>
      <c r="G16" s="195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13" t="s">
        <v>238</v>
      </c>
      <c r="I16" s="1963" t="s">
        <v>239</v>
      </c>
      <c r="J16" s="1489">
        <v>15</v>
      </c>
      <c r="K16" s="1971">
        <f>+SUMIF('BAL N'!I:I,"=14",'BAL N'!H:H)</f>
        <v>0</v>
      </c>
      <c r="L16" s="1971">
        <f>+SUMIF('BAL N'!I:I,"=14",'BAL N'!D:D)</f>
        <v>0</v>
      </c>
    </row>
    <row r="17" spans="1:14" s="891" customFormat="1" ht="145.19999999999999" customHeight="1" x14ac:dyDescent="0.25">
      <c r="A17" s="1900" t="s">
        <v>240</v>
      </c>
      <c r="B17" s="1928" t="s">
        <v>241</v>
      </c>
      <c r="C17" s="1922"/>
      <c r="D17" s="1948">
        <f>+SUMIF('BAL N'!I:I,"=24",'BAL N'!G:G)-SUMIF('BAL N'!J:J,"=245",'BAL N'!G:G)-SUMIF('BAL N'!K:K,"=2495",'BAL N'!G:G)</f>
        <v>576868142</v>
      </c>
      <c r="E17" s="1948">
        <f>+SUMIF('BAL N'!J:J,"=284",'BAL N'!H:H)-SUMIF('BAL N'!K:K,"=2845",'BAL N'!H:H)+SUMIF('BAL N'!J:J,"=294",'BAL N'!H:H)-SUMIF('BAL N'!K:K,"=2945",'BAL N'!H:H)-SUMIF('BAL N'!K:K,"=2949",'BAL N'!H:H)</f>
        <v>401015309</v>
      </c>
      <c r="F17" s="1940">
        <f t="shared" si="0"/>
        <v>175852833</v>
      </c>
      <c r="G17" s="195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9" t="s">
        <v>242</v>
      </c>
      <c r="I17" s="1964" t="s">
        <v>243</v>
      </c>
      <c r="J17" s="1483">
        <v>15</v>
      </c>
      <c r="K17" s="1971">
        <f>+SUMIF('BAL N'!I:I,"=15",'BAL N'!H:H)</f>
        <v>0</v>
      </c>
      <c r="L17" s="1971">
        <f>+SUMIF('BAL N'!I:I,"=15",'BAL N'!D:D)</f>
        <v>0</v>
      </c>
    </row>
    <row r="18" spans="1:14" s="891" customFormat="1" ht="181.2" customHeight="1" x14ac:dyDescent="0.25">
      <c r="A18" s="1900" t="s">
        <v>244</v>
      </c>
      <c r="B18" s="1928" t="s">
        <v>245</v>
      </c>
      <c r="C18" s="1922"/>
      <c r="D18" s="1948">
        <f>+SUMIF('BAL N'!J:J,"=245",'BAL N'!G:G)+SUMIF('BAL N'!K:K,"=2495",'BAL N'!G:G)</f>
        <v>69613094</v>
      </c>
      <c r="E18" s="1948">
        <f>+SUMIF('BAL N'!K:K,"=2845",'BAL N'!H:H)+SUMIF('BAL N'!K:K,"=2849",'BAL N'!H:H)+SUMIF('BAL N'!K:K,"=2945",'BAL N'!H:H)</f>
        <v>64168856</v>
      </c>
      <c r="F18" s="1940">
        <f t="shared" si="0"/>
        <v>5444238</v>
      </c>
      <c r="G18" s="1954">
        <f>+SUMIF('BAL N'!J:J,"=245",'BAL N'!C:C)+SUMIF('BAL N'!K:K,"=2495",'BAL N'!C:C)-(+SUMIF('BAL N'!K:K,"=2845",'BAL N'!D:D)+SUMIF('BAL N'!K:K,"=2849",'BAL N'!D:D)+SUMIF('BAL N'!K:K,"=2945",'BAL N'!D:D))</f>
        <v>2786500</v>
      </c>
      <c r="H18" s="1914" t="s">
        <v>246</v>
      </c>
      <c r="I18" s="1965" t="s">
        <v>247</v>
      </c>
      <c r="J18" s="1490"/>
      <c r="K18" s="1972">
        <f>SUM(K8:K17)</f>
        <v>1677088658</v>
      </c>
      <c r="L18" s="1981">
        <f>SUM(L8:L17)</f>
        <v>1340894898</v>
      </c>
    </row>
    <row r="19" spans="1:14" s="891" customFormat="1" ht="168" customHeight="1" x14ac:dyDescent="0.25">
      <c r="A19" s="1900" t="s">
        <v>248</v>
      </c>
      <c r="B19" s="1931" t="s">
        <v>249</v>
      </c>
      <c r="C19" s="1922">
        <v>3</v>
      </c>
      <c r="D19" s="1948">
        <f>+SUMIF('BAL N'!I:I,"=25",'BAL N'!G:G)</f>
        <v>0</v>
      </c>
      <c r="E19" s="1948">
        <f>+SUMIF('BAL N'!J:J,"=295",'BAL N'!H:H)</f>
        <v>0</v>
      </c>
      <c r="F19" s="1940">
        <f t="shared" si="0"/>
        <v>0</v>
      </c>
      <c r="G19" s="1954">
        <f>+SUMIF('BAL N'!I:I,"=25",'BAL N'!C:C)-SUMIF('BAL N'!J:J,"=295",'BAL N'!D:D)</f>
        <v>0</v>
      </c>
      <c r="H19" s="1909" t="s">
        <v>250</v>
      </c>
      <c r="I19" s="1966" t="s">
        <v>251</v>
      </c>
      <c r="J19" s="1483">
        <v>16</v>
      </c>
      <c r="K19" s="1954">
        <f>+SUMIF('BAL N'!I:I,"=16",'BAL N'!H:H)+SUMIF('BAL N'!J:J,"=181",'BAL N'!H:H)+SUMIF('BAL N'!J:J,"=182",'BAL N'!H:H)+SUMIF('BAL N'!J:J,"=184",'BAL N'!H:H)</f>
        <v>0</v>
      </c>
      <c r="L19" s="1982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03" t="s">
        <v>252</v>
      </c>
      <c r="B20" s="1932" t="s">
        <v>126</v>
      </c>
      <c r="C20" s="1921">
        <v>4</v>
      </c>
      <c r="D20" s="1941">
        <f>SUM(D21:D22)</f>
        <v>21311703</v>
      </c>
      <c r="E20" s="1941">
        <f>SUM(E21:E22)</f>
        <v>0</v>
      </c>
      <c r="F20" s="1941">
        <f>SUM(F21:F22)</f>
        <v>21311703</v>
      </c>
      <c r="G20" s="1941">
        <f>SUM(G21:G22)</f>
        <v>18078627</v>
      </c>
      <c r="H20" s="1911" t="s">
        <v>253</v>
      </c>
      <c r="I20" s="1967" t="s">
        <v>254</v>
      </c>
      <c r="J20" s="1486">
        <v>16</v>
      </c>
      <c r="K20" s="1973">
        <f>+SUMIF('BAL N'!I:I,"=17",'BAL N'!H:H)</f>
        <v>0</v>
      </c>
      <c r="L20" s="1983">
        <f>+SUMIF('BAL N'!I:I,"=17",'BAL N'!D:D)</f>
        <v>0</v>
      </c>
    </row>
    <row r="21" spans="1:14" s="891" customFormat="1" ht="123.6" customHeight="1" x14ac:dyDescent="0.25">
      <c r="A21" s="1900" t="s">
        <v>255</v>
      </c>
      <c r="B21" s="1928" t="s">
        <v>256</v>
      </c>
      <c r="C21" s="1922"/>
      <c r="D21" s="1948">
        <f>+SUMIF('BAL N'!I:I,"=26",'BAL N'!G:G)</f>
        <v>0</v>
      </c>
      <c r="E21" s="1948">
        <f>+SUMIF('BAL N'!J:J,"=296",'BAL N'!H:H)</f>
        <v>0</v>
      </c>
      <c r="F21" s="1942">
        <f>+D21-E21</f>
        <v>0</v>
      </c>
      <c r="G21" s="1954">
        <f>+SUMIF('BAL N'!I:I,"=26",'BAL N'!C:C)-SUMIF('BAL N'!J:J,"=296",'BAL N'!D:D)</f>
        <v>0</v>
      </c>
      <c r="H21" s="1909" t="s">
        <v>257</v>
      </c>
      <c r="I21" s="1966" t="s">
        <v>258</v>
      </c>
      <c r="J21" s="1483">
        <v>16</v>
      </c>
      <c r="K21" s="1954">
        <f>+SUMIF('BAL N'!I:I,"=19",'BAL N'!H:H)</f>
        <v>0</v>
      </c>
      <c r="L21" s="1982">
        <f>+SUMIF('BAL N'!I:I,"=19",'BAL N'!D:D)</f>
        <v>0</v>
      </c>
    </row>
    <row r="22" spans="1:14" s="891" customFormat="1" ht="163.80000000000001" customHeight="1" x14ac:dyDescent="0.25">
      <c r="A22" s="1900" t="s">
        <v>259</v>
      </c>
      <c r="B22" s="1928" t="s">
        <v>260</v>
      </c>
      <c r="C22" s="1922"/>
      <c r="D22" s="1948">
        <f>+SUMIF('BAL N'!I:I,"=27",'BAL N'!G:G)</f>
        <v>21311703</v>
      </c>
      <c r="E22" s="1948">
        <f>+SUMIF('BAL N'!J:J,"=297",'BAL N'!H:H)</f>
        <v>0</v>
      </c>
      <c r="F22" s="1942">
        <f>+D22-E22</f>
        <v>21311703</v>
      </c>
      <c r="G22" s="1954">
        <f>+SUMIF('BAL N-1'!I:I,"=27",'BAL N-1'!G:G)</f>
        <v>18078627</v>
      </c>
      <c r="H22" s="1914" t="s">
        <v>261</v>
      </c>
      <c r="I22" s="1968" t="s">
        <v>262</v>
      </c>
      <c r="J22" s="1490"/>
      <c r="K22" s="1972">
        <f>SUM(K19:K21)</f>
        <v>0</v>
      </c>
      <c r="L22" s="1981">
        <f>SUM(L19:L21)</f>
        <v>0</v>
      </c>
    </row>
    <row r="23" spans="1:14" s="891" customFormat="1" ht="117.6" customHeight="1" x14ac:dyDescent="0.25">
      <c r="A23" s="1904" t="s">
        <v>263</v>
      </c>
      <c r="B23" s="1933" t="s">
        <v>264</v>
      </c>
      <c r="C23" s="1923"/>
      <c r="D23" s="1943">
        <f>+D20+D13+D8</f>
        <v>2648711151</v>
      </c>
      <c r="E23" s="1943">
        <f>+E20+E13+E8</f>
        <v>1102860588</v>
      </c>
      <c r="F23" s="1943">
        <f>+F20+F13+F8</f>
        <v>1545850563</v>
      </c>
      <c r="G23" s="1943">
        <f>+G20+G13+G8</f>
        <v>1512192786</v>
      </c>
      <c r="H23" s="1915" t="s">
        <v>265</v>
      </c>
      <c r="I23" s="1933" t="s">
        <v>266</v>
      </c>
      <c r="J23" s="1491"/>
      <c r="K23" s="1974"/>
      <c r="L23" s="1984"/>
    </row>
    <row r="24" spans="1:14" s="891" customFormat="1" ht="112.8" customHeight="1" x14ac:dyDescent="0.25">
      <c r="A24" s="1900" t="s">
        <v>267</v>
      </c>
      <c r="B24" s="1934" t="s">
        <v>268</v>
      </c>
      <c r="C24" s="1922">
        <v>5</v>
      </c>
      <c r="D24" s="1950">
        <f>+SUMIF('BAL N'!J:J,"=485",'BAL N'!G:G)+SUMIF('BAL N'!J:J,"=488",'BAL N'!G:G)</f>
        <v>0</v>
      </c>
      <c r="E24" s="1948">
        <f>+SUMIF('BAL N'!J:J,"=498",'BAL N'!H:H)</f>
        <v>0</v>
      </c>
      <c r="F24" s="1942">
        <f t="shared" ref="F24:F29" si="1">+D24-E24</f>
        <v>0</v>
      </c>
      <c r="G24" s="1954">
        <f>+SUMIF('BAL N'!J:J,"=485",'BAL N'!C:C)+SUMIF('BAL N'!J:J,"=488",'BAL N'!C:C)-SUMIF('BAL N'!J:J,"=498",'BAL N'!D:D)</f>
        <v>0</v>
      </c>
      <c r="H24" s="1909" t="s">
        <v>269</v>
      </c>
      <c r="I24" s="1966" t="s">
        <v>270</v>
      </c>
      <c r="J24" s="1483">
        <v>5</v>
      </c>
      <c r="K24" s="1954">
        <f>+SUMIF('BAL N'!J:J,"=481",'BAL N'!H:H)+SUMIF('BAL N'!J:J,"=482",'BAL N'!H:H)+SUMIF('BAL N'!J:J,"=484",'BAL N'!H:H)+SUMIF('BAL N'!K:K,"=4998",'BAL N'!H:H)</f>
        <v>0</v>
      </c>
      <c r="L24" s="1982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00" t="s">
        <v>271</v>
      </c>
      <c r="B25" s="1934" t="s">
        <v>130</v>
      </c>
      <c r="C25" s="1922">
        <v>6</v>
      </c>
      <c r="D25" s="195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8">
        <f>+SUMIF('BAL N'!I:I,"=39",'BAL N'!H:H)</f>
        <v>0</v>
      </c>
      <c r="F25" s="1942">
        <f t="shared" si="1"/>
        <v>0</v>
      </c>
      <c r="G25" s="195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9" t="s">
        <v>272</v>
      </c>
      <c r="I25" s="1966" t="s">
        <v>273</v>
      </c>
      <c r="J25" s="1483">
        <v>7</v>
      </c>
      <c r="K25" s="1954">
        <f>+SUMIF('BAL N'!J:J,"=419",'BAL N'!H:H)</f>
        <v>1049467125</v>
      </c>
      <c r="L25" s="1982">
        <f>+SUMIF('BAL N'!J:J,"=419",'BAL N'!D:D)</f>
        <v>1049467125</v>
      </c>
    </row>
    <row r="26" spans="1:14" s="891" customFormat="1" ht="112.8" customHeight="1" x14ac:dyDescent="0.25">
      <c r="A26" s="1900" t="s">
        <v>274</v>
      </c>
      <c r="B26" s="1934" t="s">
        <v>275</v>
      </c>
      <c r="C26" s="1922"/>
      <c r="D26" s="1950"/>
      <c r="E26" s="1948"/>
      <c r="F26" s="1942">
        <f t="shared" si="1"/>
        <v>0</v>
      </c>
      <c r="G26" s="1954"/>
      <c r="H26" s="1909" t="s">
        <v>276</v>
      </c>
      <c r="I26" s="1966" t="s">
        <v>277</v>
      </c>
      <c r="J26" s="1483">
        <v>17</v>
      </c>
      <c r="K26" s="1954">
        <f>+SUMIF('BAL N'!I:I,"=40",'BAL N'!H:H)-SUMIF('BAL N'!J:J,"=409",'BAL N'!H:H)</f>
        <v>2983581</v>
      </c>
      <c r="L26" s="1982">
        <f>+SUMIF('BAL N-1'!I:I,"=40",'BAL N-1'!H:H)-SUMIF('BAL N-1'!J:J,"=409",'BAL N-1'!H:H)</f>
        <v>4488645</v>
      </c>
    </row>
    <row r="27" spans="1:14" s="891" customFormat="1" ht="112.8" customHeight="1" x14ac:dyDescent="0.25">
      <c r="A27" s="1900" t="s">
        <v>278</v>
      </c>
      <c r="B27" s="1928" t="s">
        <v>279</v>
      </c>
      <c r="C27" s="1922">
        <v>17</v>
      </c>
      <c r="D27" s="1950">
        <f>+SUMIF('BAL N'!I:I,"=40",'BAL N'!G:G)-SUMIF('BAL N'!J:J,"=490",'BAL N'!D:D)</f>
        <v>156285021</v>
      </c>
      <c r="E27" s="1948">
        <f>+SUMIF('BAL N'!J:J,"=490",'BAL N'!H:H)</f>
        <v>0</v>
      </c>
      <c r="F27" s="1942">
        <f t="shared" si="1"/>
        <v>156285021</v>
      </c>
      <c r="G27" s="1954">
        <f>+SUMIF('BAL N-1'!J:J,"401",'BAL N-1'!G:G)+SUMIF('BAL N-1'!J:J,"409",'BAL N-1'!G:G)</f>
        <v>146212696</v>
      </c>
      <c r="H27" s="1909" t="s">
        <v>280</v>
      </c>
      <c r="I27" s="1966" t="s">
        <v>281</v>
      </c>
      <c r="J27" s="1483">
        <v>18</v>
      </c>
      <c r="K27" s="1954">
        <f>+SUMIF('BAL N'!I:I,"=42",'BAL N'!H:H)+SUMIF('BAL N'!I:I,"=43",'BAL N'!H:H)+SUMIF('BAL N'!I:I,"=44",'BAL N'!H:H)</f>
        <v>87176894</v>
      </c>
      <c r="L27" s="1982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00" t="s">
        <v>282</v>
      </c>
      <c r="B28" s="1928" t="s">
        <v>283</v>
      </c>
      <c r="C28" s="1922">
        <v>7</v>
      </c>
      <c r="D28" s="1950">
        <f>+SUMIF('BAL N'!I:I,"=41",'BAL N'!G:G)-SUMIF('BAL N'!J:J,"=419",'BAL N'!G:G)</f>
        <v>611240094</v>
      </c>
      <c r="E28" s="1948">
        <f>+SUMIF('BAL N'!J:J,"=491",'BAL N'!H:H)</f>
        <v>0</v>
      </c>
      <c r="F28" s="1942">
        <f t="shared" si="1"/>
        <v>611240094</v>
      </c>
      <c r="G28" s="1954">
        <f>+SUMIF('BAL N'!I:I,"=41",'BAL N'!C:C)-SUMIF('BAL N'!J:J,"=491",'BAL N'!D:D)-SUMIF('BAL N'!J:J,"=411",'BAL N'!D:D)</f>
        <v>77433927</v>
      </c>
      <c r="H28" s="1909" t="s">
        <v>284</v>
      </c>
      <c r="I28" s="1966" t="s">
        <v>285</v>
      </c>
      <c r="J28" s="1483">
        <v>19</v>
      </c>
      <c r="K28" s="1954">
        <f>+SUMIF('BAL N'!J:J,"=185",'BAL N'!H:H)+SUMIF('BAL N'!I:I,"=45",'BAL N'!H:H)+SUMIF('BAL N'!I:I,"=47",'BAL N'!H:H)+SUMIF('BAL N'!I:I,"=46",'BAL N'!H:H)-SUMIF('BAL N'!J:J,"=479",'BAL N'!H:H)</f>
        <v>7874167</v>
      </c>
      <c r="L28" s="1982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00" t="s">
        <v>286</v>
      </c>
      <c r="B29" s="1928" t="s">
        <v>287</v>
      </c>
      <c r="C29" s="1922">
        <v>8</v>
      </c>
      <c r="D29" s="195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42">
        <f t="shared" si="1"/>
        <v>8323715</v>
      </c>
      <c r="G29" s="1958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10" t="s">
        <v>288</v>
      </c>
      <c r="I29" s="1967" t="s">
        <v>289</v>
      </c>
      <c r="J29" s="1486">
        <v>19</v>
      </c>
      <c r="K29" s="1975">
        <f>+SUMIF('BAL N'!J:J,"=499",'BAL N'!H:H)+SUMIF('BAL N'!J:J,"=599",'BAL N'!H:H)-SUMIF('BAL N'!K:K,"=4998",'BAL N'!H:H)</f>
        <v>0</v>
      </c>
      <c r="L29" s="1985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04" t="s">
        <v>290</v>
      </c>
      <c r="B30" s="1933" t="s">
        <v>291</v>
      </c>
      <c r="C30" s="1923"/>
      <c r="D30" s="1943">
        <f>SUM(D24:D29)</f>
        <v>775848830</v>
      </c>
      <c r="E30" s="1943">
        <f>SUM(E24:E29)</f>
        <v>0</v>
      </c>
      <c r="F30" s="1943">
        <f>SUM(F24:F29)</f>
        <v>775848830</v>
      </c>
      <c r="G30" s="1943">
        <f>SUM(G24:G29)</f>
        <v>699305207</v>
      </c>
      <c r="H30" s="1915" t="s">
        <v>292</v>
      </c>
      <c r="I30" s="1933" t="s">
        <v>293</v>
      </c>
      <c r="J30" s="1491"/>
      <c r="K30" s="1974">
        <f>SUM(K24:K29)</f>
        <v>1147501767</v>
      </c>
      <c r="L30" s="1984">
        <f>SUM(L24:L29)</f>
        <v>1118524793</v>
      </c>
    </row>
    <row r="31" spans="1:14" s="891" customFormat="1" ht="103.2" customHeight="1" x14ac:dyDescent="0.25">
      <c r="A31" s="1900" t="s">
        <v>294</v>
      </c>
      <c r="B31" s="1928" t="s">
        <v>295</v>
      </c>
      <c r="C31" s="1922">
        <v>9</v>
      </c>
      <c r="D31" s="1948">
        <f>+SUMIF('BAL N'!I:I,"=50",'BAL N'!G:G)</f>
        <v>0</v>
      </c>
      <c r="E31" s="1948">
        <f>+SUMIF('BAL N'!J:J,"=590",'BAL N'!H:H)</f>
        <v>0</v>
      </c>
      <c r="F31" s="1942">
        <f>+D31-E31</f>
        <v>0</v>
      </c>
      <c r="G31" s="1954">
        <f>+SUMIF('BAL N'!I:I,"=59",'BAL N'!C:C)-SUMIF('BAL N'!J:J,"=590",'BAL N'!D:D)</f>
        <v>0</v>
      </c>
      <c r="H31" s="1916"/>
      <c r="I31" s="1969"/>
      <c r="J31" s="1483"/>
      <c r="K31" s="1976"/>
      <c r="L31" s="1986"/>
    </row>
    <row r="32" spans="1:14" s="891" customFormat="1" ht="103.2" customHeight="1" x14ac:dyDescent="0.25">
      <c r="A32" s="1900" t="s">
        <v>296</v>
      </c>
      <c r="B32" s="1928" t="s">
        <v>297</v>
      </c>
      <c r="C32" s="1922">
        <v>10</v>
      </c>
      <c r="D32" s="1948">
        <f>+SUMIF('BAL N'!I:I,"=51",'BAL N'!G:G)</f>
        <v>0</v>
      </c>
      <c r="E32" s="1948">
        <f>+SUMIF('BAL N'!J:J,"=591",'BAL N'!H:H)</f>
        <v>0</v>
      </c>
      <c r="F32" s="1942">
        <f>+D32-E32</f>
        <v>0</v>
      </c>
      <c r="G32" s="1954">
        <f>+SUMIF('BAL N'!I:I,"=51",'BAL N'!C:C)-SUMIF('BAL N'!J:J,"=591",'BAL N'!D:D)</f>
        <v>0</v>
      </c>
      <c r="H32" s="1909" t="s">
        <v>298</v>
      </c>
      <c r="I32" s="1966" t="s">
        <v>1304</v>
      </c>
      <c r="J32" s="1483">
        <v>20</v>
      </c>
      <c r="K32" s="1954">
        <f>+SUMIF('BAL N'!J:J,"=564",'BAL N'!H:H)+SUMIF('BAL N'!J:J,"=565",'BAL N'!H:H)</f>
        <v>0</v>
      </c>
      <c r="L32" s="1982">
        <f>+SUMIF('BAL N'!J:J,"=564",'BAL N'!D:D)+SUMIF('BAL N'!J:J,"=565",'BAL N'!D:D)</f>
        <v>0</v>
      </c>
    </row>
    <row r="33" spans="1:12" s="891" customFormat="1" ht="155.4" customHeight="1" x14ac:dyDescent="0.25">
      <c r="A33" s="1900" t="s">
        <v>299</v>
      </c>
      <c r="B33" s="1928" t="s">
        <v>300</v>
      </c>
      <c r="C33" s="1922">
        <v>11</v>
      </c>
      <c r="D33" s="194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8">
        <f>+SUMIF('BAL N'!J:J,"=592",'BAL N'!H:H)+SUMIF('BAL N'!J:J,"=593",'BAL N'!H:H)+SUMIF('BAL N'!J:J,"=594",'BAL N'!H:H)</f>
        <v>0</v>
      </c>
      <c r="F33" s="1942">
        <f>+D33-E33</f>
        <v>502891032</v>
      </c>
      <c r="G33" s="195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9" t="s">
        <v>301</v>
      </c>
      <c r="I33" s="1966" t="s">
        <v>302</v>
      </c>
      <c r="J33" s="1483">
        <v>20</v>
      </c>
      <c r="K33" s="1954">
        <f>+SUMIF('BAL N'!I:I,"=52",'BAL N'!H:H)+SUMIF('BAL N'!I:I,"=53",'BAL N'!H:H)+SUMIF('BAL N'!J:J,"=561",'BAL N'!H:H)+SUMIF('BAL N'!J:J,"=566",'BAL N'!H:H)</f>
        <v>0</v>
      </c>
      <c r="L33" s="1982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04" t="s">
        <v>303</v>
      </c>
      <c r="B34" s="1933" t="s">
        <v>304</v>
      </c>
      <c r="C34" s="1923"/>
      <c r="D34" s="1943">
        <f>SUM(D31:D33)</f>
        <v>502891032</v>
      </c>
      <c r="E34" s="1943">
        <f>SUM(E31:E33)</f>
        <v>0</v>
      </c>
      <c r="F34" s="1943">
        <f>SUM(F31:F33)</f>
        <v>502891032</v>
      </c>
      <c r="G34" s="1943">
        <f>SUM(G31:G33)</f>
        <v>247921698</v>
      </c>
      <c r="H34" s="1917" t="s">
        <v>305</v>
      </c>
      <c r="I34" s="1933" t="s">
        <v>306</v>
      </c>
      <c r="J34" s="1491"/>
      <c r="K34" s="1974">
        <f>+K32+K33</f>
        <v>0</v>
      </c>
      <c r="L34" s="1984">
        <f>+L32+L33</f>
        <v>0</v>
      </c>
    </row>
    <row r="35" spans="1:12" s="891" customFormat="1" ht="103.2" customHeight="1" x14ac:dyDescent="0.25">
      <c r="A35" s="1900" t="s">
        <v>307</v>
      </c>
      <c r="B35" s="1928" t="s">
        <v>308</v>
      </c>
      <c r="C35" s="1922">
        <v>12</v>
      </c>
      <c r="D35" s="1948">
        <f>+SUMIF('BAL N'!J:J,"=478",'BAL N'!G:G)</f>
        <v>0</v>
      </c>
      <c r="E35" s="1948"/>
      <c r="F35" s="1942"/>
      <c r="G35" s="1954">
        <f>+SUMIF('BAL N'!J:J,"=478",'BAL N'!C:C)</f>
        <v>0</v>
      </c>
      <c r="H35" s="1909" t="s">
        <v>309</v>
      </c>
      <c r="I35" s="1966" t="s">
        <v>310</v>
      </c>
      <c r="J35" s="1483">
        <v>12</v>
      </c>
      <c r="K35" s="1954">
        <f>+SUMIF('BAL N'!J:J,"=479",'BAL N'!H:H)</f>
        <v>0</v>
      </c>
      <c r="L35" s="1982">
        <f>+SUMIF('BAL N'!J:J,"=479",'BAL N'!D:D)</f>
        <v>0</v>
      </c>
    </row>
    <row r="36" spans="1:12" s="891" customFormat="1" ht="88.8" customHeight="1" thickBot="1" x14ac:dyDescent="0.3">
      <c r="A36" s="1905" t="s">
        <v>311</v>
      </c>
      <c r="B36" s="1935" t="s">
        <v>312</v>
      </c>
      <c r="C36" s="1924"/>
      <c r="D36" s="1944">
        <f>+D34+D30+D23</f>
        <v>3927451013</v>
      </c>
      <c r="E36" s="1944">
        <f>+E34+E30+E23</f>
        <v>1102860588</v>
      </c>
      <c r="F36" s="1944">
        <f>+F34+F30+F23</f>
        <v>2824590425</v>
      </c>
      <c r="G36" s="1944">
        <f>+G34+G30+G23</f>
        <v>2459419691</v>
      </c>
      <c r="H36" s="1918" t="s">
        <v>313</v>
      </c>
      <c r="I36" s="1935" t="s">
        <v>312</v>
      </c>
      <c r="J36" s="1492"/>
      <c r="K36" s="1977">
        <f>+K34+K30+K22+K18</f>
        <v>2824590425</v>
      </c>
      <c r="L36" s="1987">
        <f>+L34+L30+L22+L18</f>
        <v>2459419691</v>
      </c>
    </row>
    <row r="39" spans="1:12" ht="37.5" customHeight="1" thickBot="1" x14ac:dyDescent="0.3">
      <c r="F39" s="1945">
        <f>F36-K36</f>
        <v>0</v>
      </c>
      <c r="G39" s="194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08" customWidth="1"/>
    <col min="3" max="3" width="98.44140625" style="171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695" t="s">
        <v>1294</v>
      </c>
      <c r="B1" s="1696"/>
      <c r="C1" s="1696"/>
      <c r="D1" s="1696"/>
      <c r="E1" s="1696"/>
      <c r="F1" s="1696"/>
      <c r="G1" s="1697"/>
    </row>
    <row r="2" spans="1:7" s="217" customFormat="1" ht="8.1" customHeight="1" x14ac:dyDescent="0.25">
      <c r="A2" s="1691"/>
      <c r="B2" s="1706"/>
      <c r="C2" s="1709"/>
      <c r="D2" s="1692"/>
      <c r="E2" s="1693"/>
      <c r="F2" s="1693"/>
      <c r="G2" s="1694"/>
    </row>
    <row r="3" spans="1:7" s="217" customFormat="1" ht="33" customHeight="1" x14ac:dyDescent="0.25">
      <c r="A3" s="1474" t="s">
        <v>1716</v>
      </c>
      <c r="B3" s="1731"/>
      <c r="C3" s="1476" t="str">
        <f>'Fiche de renseignement R1'!$J$4</f>
        <v>AFRICACOLD SARL</v>
      </c>
      <c r="E3" s="1700"/>
      <c r="F3" s="1698" t="s">
        <v>417</v>
      </c>
      <c r="G3" s="170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31"/>
      <c r="C4" s="1710" t="str">
        <f>+'Fiche de renseignement R1'!$J$10</f>
        <v>04395621 2E2</v>
      </c>
      <c r="E4" s="1701"/>
      <c r="F4" s="1698" t="s">
        <v>418</v>
      </c>
      <c r="G4" s="1703">
        <f>+'Fiche de renseignement R1'!$AH$10</f>
        <v>12</v>
      </c>
    </row>
    <row r="5" spans="1:7" s="217" customFormat="1" ht="8.1" customHeight="1" thickBot="1" x14ac:dyDescent="0.3">
      <c r="A5" s="286"/>
      <c r="B5" s="1707"/>
      <c r="C5" s="1711"/>
      <c r="D5" s="287"/>
      <c r="E5" s="288"/>
      <c r="F5" s="288"/>
      <c r="G5" s="289"/>
    </row>
    <row r="6" spans="1:7" s="220" customFormat="1" ht="38.25" customHeight="1" x14ac:dyDescent="0.25">
      <c r="A6" s="1522" t="s">
        <v>199</v>
      </c>
      <c r="B6" s="1704" t="s">
        <v>314</v>
      </c>
      <c r="C6" s="1705"/>
      <c r="D6" s="1521"/>
      <c r="E6" s="1521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493" t="s">
        <v>316</v>
      </c>
      <c r="B7" s="1714" t="s">
        <v>1719</v>
      </c>
      <c r="C7" s="1715"/>
      <c r="D7" s="1502" t="s">
        <v>317</v>
      </c>
      <c r="E7" s="1502">
        <v>21</v>
      </c>
      <c r="F7" s="1503">
        <f>+SUMIF('BAL N'!J:J,"=701",'BAL N'!H:H)</f>
        <v>0</v>
      </c>
      <c r="G7" s="1504">
        <f>+SUMIF('BAL N-1'!J:J,"=701",'BAL N-1'!H:H)</f>
        <v>0</v>
      </c>
    </row>
    <row r="8" spans="1:7" ht="37.200000000000003" customHeight="1" x14ac:dyDescent="0.25">
      <c r="A8" s="1494" t="s">
        <v>318</v>
      </c>
      <c r="B8" s="1716" t="s">
        <v>1720</v>
      </c>
      <c r="C8" s="1717"/>
      <c r="D8" s="1505" t="s">
        <v>319</v>
      </c>
      <c r="E8" s="1505">
        <v>22</v>
      </c>
      <c r="F8" s="1506">
        <f>+SUMIF('BAL N'!J:J,"=601",'BAL N'!G:G)</f>
        <v>0</v>
      </c>
      <c r="G8" s="1507">
        <f>+SUMIF('BAL N-1'!J:J,"=601",'BAL N-1'!G:G)</f>
        <v>0</v>
      </c>
    </row>
    <row r="9" spans="1:7" ht="37.200000000000003" customHeight="1" x14ac:dyDescent="0.25">
      <c r="A9" s="1494" t="s">
        <v>320</v>
      </c>
      <c r="B9" s="1718" t="s">
        <v>1721</v>
      </c>
      <c r="C9" s="1719"/>
      <c r="D9" s="1508" t="s">
        <v>321</v>
      </c>
      <c r="E9" s="1508">
        <v>6</v>
      </c>
      <c r="F9" s="1506">
        <f>-(+SUMIF('BAL N'!K:K,"=6031",'BAL N'!H:H)-SUMIF('BAL N'!K:K,"=6031",'BAL N'!G:G))</f>
        <v>0</v>
      </c>
      <c r="G9" s="1507">
        <f>-(+SUMIF('BAL N-1'!K:K,"=6031",'BAL N-1'!H:H)-SUMIF('BAL N-1'!K:K,"=6031",'BAL N-1'!G:G))</f>
        <v>0</v>
      </c>
    </row>
    <row r="10" spans="1:7" ht="46.5" customHeight="1" x14ac:dyDescent="0.25">
      <c r="A10" s="1495" t="s">
        <v>322</v>
      </c>
      <c r="B10" s="1720" t="s">
        <v>1722</v>
      </c>
      <c r="C10" s="1721"/>
      <c r="D10" s="1509"/>
      <c r="E10" s="1509"/>
      <c r="F10" s="1510">
        <f>+F14-F8-F9</f>
        <v>12654352249</v>
      </c>
      <c r="G10" s="1511">
        <f>+G14-G8-G9</f>
        <v>6032644508</v>
      </c>
    </row>
    <row r="11" spans="1:7" ht="43.2" customHeight="1" x14ac:dyDescent="0.25">
      <c r="A11" s="1494" t="s">
        <v>323</v>
      </c>
      <c r="B11" s="1716" t="s">
        <v>1723</v>
      </c>
      <c r="C11" s="1717"/>
      <c r="D11" s="1505" t="s">
        <v>317</v>
      </c>
      <c r="E11" s="1505">
        <v>21</v>
      </c>
      <c r="F11" s="1506">
        <f>+SUMIF('BAL N'!J:J,"=702",'BAL N'!H:H)+SUMIF('BAL N'!J:J,"=703",'BAL N'!H:H)+SUMIF('BAL N'!J:J,"=704",'BAL N'!H:H)</f>
        <v>12654352249</v>
      </c>
      <c r="G11" s="1507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494" t="s">
        <v>324</v>
      </c>
      <c r="B12" s="1716" t="s">
        <v>1724</v>
      </c>
      <c r="C12" s="1717"/>
      <c r="D12" s="1505" t="s">
        <v>317</v>
      </c>
      <c r="E12" s="1505">
        <v>21</v>
      </c>
      <c r="F12" s="1506">
        <f>+SUMIF('BAL N'!J:J,"=705",'BAL N'!H:H)+SUMIF('BAL N'!J:J,"=706",'BAL N'!H:H)</f>
        <v>0</v>
      </c>
      <c r="G12" s="1507">
        <f>+SUMIF('BAL N-1'!J:J,"=705",'BAL N-1'!H:H)+SUMIF('BAL N-1'!J:J,"=706",'BAL N-1'!H:H)</f>
        <v>0</v>
      </c>
    </row>
    <row r="13" spans="1:7" ht="43.2" customHeight="1" x14ac:dyDescent="0.25">
      <c r="A13" s="1494" t="s">
        <v>325</v>
      </c>
      <c r="B13" s="1716" t="s">
        <v>1725</v>
      </c>
      <c r="C13" s="1717"/>
      <c r="D13" s="1505" t="s">
        <v>317</v>
      </c>
      <c r="E13" s="1505">
        <v>21</v>
      </c>
      <c r="F13" s="1506">
        <f>+SUMIF('BAL N'!J:J,"=707",'BAL N'!H:H)</f>
        <v>0</v>
      </c>
      <c r="G13" s="1507">
        <f>+SUMIF('BAL N-1'!J:J,"=707",'BAL N-1'!H:H)</f>
        <v>0</v>
      </c>
    </row>
    <row r="14" spans="1:7" ht="27.75" customHeight="1" x14ac:dyDescent="0.25">
      <c r="A14" s="1495" t="s">
        <v>326</v>
      </c>
      <c r="B14" s="1720" t="s">
        <v>1726</v>
      </c>
      <c r="C14" s="1721"/>
      <c r="D14" s="1509"/>
      <c r="E14" s="1509"/>
      <c r="F14" s="1510">
        <f>+F7+F13+F12+F11</f>
        <v>12654352249</v>
      </c>
      <c r="G14" s="1511">
        <f>+G7+G13+G12+G11</f>
        <v>6032644508</v>
      </c>
    </row>
    <row r="15" spans="1:7" ht="39" customHeight="1" x14ac:dyDescent="0.25">
      <c r="A15" s="1494" t="s">
        <v>327</v>
      </c>
      <c r="B15" s="1716" t="s">
        <v>1760</v>
      </c>
      <c r="C15" s="1717"/>
      <c r="D15" s="1508" t="s">
        <v>321</v>
      </c>
      <c r="E15" s="1505">
        <v>6</v>
      </c>
      <c r="F15" s="1506">
        <f>+SUMIF('BAL N'!I:I,"=73",'BAL N'!H:H)</f>
        <v>0</v>
      </c>
      <c r="G15" s="1507">
        <f>+SUMIF('BAL N-1'!I:I,"=73",'BAL N-1'!H:H)</f>
        <v>0</v>
      </c>
    </row>
    <row r="16" spans="1:7" ht="39" customHeight="1" x14ac:dyDescent="0.25">
      <c r="A16" s="1494" t="s">
        <v>328</v>
      </c>
      <c r="B16" s="1716" t="s">
        <v>1759</v>
      </c>
      <c r="C16" s="1717"/>
      <c r="D16" s="1505"/>
      <c r="E16" s="1505">
        <v>21</v>
      </c>
      <c r="F16" s="1506">
        <f>+SUMIF('BAL N'!I:I,"=72",'BAL N'!H:H)</f>
        <v>0</v>
      </c>
      <c r="G16" s="1507">
        <f>+SUMIF('BAL N-1'!I:I,"=72",'BAL N-1'!H:H)</f>
        <v>0</v>
      </c>
    </row>
    <row r="17" spans="1:7" ht="39" customHeight="1" x14ac:dyDescent="0.25">
      <c r="A17" s="1494" t="s">
        <v>330</v>
      </c>
      <c r="B17" s="1716" t="s">
        <v>1758</v>
      </c>
      <c r="C17" s="1717"/>
      <c r="D17" s="1505"/>
      <c r="E17" s="1505">
        <v>21</v>
      </c>
      <c r="F17" s="1506">
        <f>+SUMIF('BAL N'!I:I,"=71",'BAL N'!H:H)</f>
        <v>0</v>
      </c>
      <c r="G17" s="1507">
        <f>+SUMIF('BAL N-1'!I:I,"=71",'BAL N-1'!H:H)</f>
        <v>0</v>
      </c>
    </row>
    <row r="18" spans="1:7" ht="39" customHeight="1" x14ac:dyDescent="0.25">
      <c r="A18" s="1494" t="s">
        <v>332</v>
      </c>
      <c r="B18" s="1716" t="s">
        <v>1757</v>
      </c>
      <c r="C18" s="1717"/>
      <c r="D18" s="1505" t="s">
        <v>317</v>
      </c>
      <c r="E18" s="1505">
        <v>21</v>
      </c>
      <c r="F18" s="1506">
        <f>+SUMIF('BAL N'!I:I,"=75",'BAL N'!H:H)</f>
        <v>42600</v>
      </c>
      <c r="G18" s="1507">
        <f>+SUMIF('BAL N-1'!I:I,"=75",'BAL N-1'!H:H)</f>
        <v>0</v>
      </c>
    </row>
    <row r="19" spans="1:7" ht="39" customHeight="1" x14ac:dyDescent="0.25">
      <c r="A19" s="1496" t="s">
        <v>334</v>
      </c>
      <c r="B19" s="1722" t="s">
        <v>1756</v>
      </c>
      <c r="C19" s="1723"/>
      <c r="D19" s="1512" t="s">
        <v>317</v>
      </c>
      <c r="E19" s="1512">
        <v>12</v>
      </c>
      <c r="F19" s="1513">
        <f>+SUMIF('BAL N'!J:J,"=781",'BAL N'!H:H)</f>
        <v>0</v>
      </c>
      <c r="G19" s="1514">
        <f>+SUMIF('BAL N-1'!J:J,"=781",'BAL N-1'!H:H)</f>
        <v>0</v>
      </c>
    </row>
    <row r="20" spans="1:7" ht="45" customHeight="1" x14ac:dyDescent="0.25">
      <c r="A20" s="1494" t="s">
        <v>335</v>
      </c>
      <c r="B20" s="1716" t="s">
        <v>1755</v>
      </c>
      <c r="C20" s="1717"/>
      <c r="D20" s="1505" t="s">
        <v>319</v>
      </c>
      <c r="E20" s="1505">
        <v>22</v>
      </c>
      <c r="F20" s="1506">
        <f>+SUMIF('BAL N'!J:J,"=602",'BAL N'!G:G)</f>
        <v>9722463361</v>
      </c>
      <c r="G20" s="1507">
        <f>+SUMIF('BAL N-1'!J:J,"=602",'BAL N-1'!G:G)</f>
        <v>4805921959</v>
      </c>
    </row>
    <row r="21" spans="1:7" ht="58.8" customHeight="1" x14ac:dyDescent="0.25">
      <c r="A21" s="1494" t="s">
        <v>336</v>
      </c>
      <c r="B21" s="1718" t="s">
        <v>1754</v>
      </c>
      <c r="C21" s="1719"/>
      <c r="D21" s="1508" t="s">
        <v>321</v>
      </c>
      <c r="E21" s="1505">
        <v>6</v>
      </c>
      <c r="F21" s="1506">
        <f>-SUMIF('BAL N'!K:K,"=6032",'BAL N'!H:H)+SUMIF('BAL N'!K:K,"=6032",'BAL N'!G:G)-SUMIF('BAL N'!K:K,"=6034",'BAL N'!H:H)+SUMIF('BAL N'!K:K,"=6034",'BAL N'!G:G)</f>
        <v>431895875</v>
      </c>
      <c r="G21" s="1507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494" t="s">
        <v>337</v>
      </c>
      <c r="B22" s="1716" t="s">
        <v>1753</v>
      </c>
      <c r="C22" s="1717"/>
      <c r="D22" s="1505" t="s">
        <v>319</v>
      </c>
      <c r="E22" s="1505">
        <v>22</v>
      </c>
      <c r="F22" s="1506">
        <f>+SUMIF('BAL N'!J:J,"=604",'BAL N'!G:G)+SUMIF('BAL N'!J:J,"=605",'BAL N'!G:G)+SUMIF('BAL N'!J:J,"=608",'BAL N'!G:G)+SUMIF('BAL N'!J:J,"=606",'BAL N'!G:G)-51919</f>
        <v>828548081</v>
      </c>
      <c r="G22" s="1507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494" t="s">
        <v>338</v>
      </c>
      <c r="B23" s="1718" t="s">
        <v>1752</v>
      </c>
      <c r="C23" s="1719"/>
      <c r="D23" s="1508" t="s">
        <v>321</v>
      </c>
      <c r="E23" s="1505">
        <v>6</v>
      </c>
      <c r="F23" s="1506">
        <f>+SUMIF('BAL N'!K:K,"=6033",'BAL N'!H:H)-SUMIF('BAL N'!K:K,"=6033",'BAL N'!G:G)</f>
        <v>0</v>
      </c>
      <c r="G23" s="1507">
        <f>+SUMIF('BAL N-1'!K:K,"=6033",'BAL N-1'!H:H)-SUMIF('BAL N-1'!K:K,"=6033",'BAL N-1'!G:G)</f>
        <v>0</v>
      </c>
    </row>
    <row r="24" spans="1:7" ht="39" customHeight="1" x14ac:dyDescent="0.25">
      <c r="A24" s="1494" t="s">
        <v>339</v>
      </c>
      <c r="B24" s="1716" t="s">
        <v>1751</v>
      </c>
      <c r="C24" s="1717"/>
      <c r="D24" s="1505" t="s">
        <v>319</v>
      </c>
      <c r="E24" s="1505">
        <v>23</v>
      </c>
      <c r="F24" s="1506">
        <f>+SUMIF('BAL N'!I:I,"=61",'BAL N'!G:G)</f>
        <v>104589770</v>
      </c>
      <c r="G24" s="1507">
        <f>+SUMIF('BAL N-1'!I:I,"=61",'BAL N-1'!G:G)</f>
        <v>130715952</v>
      </c>
    </row>
    <row r="25" spans="1:7" ht="39" customHeight="1" x14ac:dyDescent="0.25">
      <c r="A25" s="1494" t="s">
        <v>340</v>
      </c>
      <c r="B25" s="1716" t="s">
        <v>1750</v>
      </c>
      <c r="C25" s="1717"/>
      <c r="D25" s="1505" t="s">
        <v>319</v>
      </c>
      <c r="E25" s="1505">
        <v>24</v>
      </c>
      <c r="F25" s="1506">
        <f>+SUMIF('BAL N'!I:I,"=62",'BAL N'!G:G)+SUMIF('BAL N'!I:I,"=63",'BAL N'!G:G)</f>
        <v>685129421</v>
      </c>
      <c r="G25" s="1507">
        <f>+SUMIF('BAL N-1'!I:I,"=62",'BAL N-1'!G:G)+SUMIF('BAL N-1'!I:I,"=63",'BAL N-1'!G:G)</f>
        <v>383032996</v>
      </c>
    </row>
    <row r="26" spans="1:7" ht="39" customHeight="1" x14ac:dyDescent="0.25">
      <c r="A26" s="1494" t="s">
        <v>341</v>
      </c>
      <c r="B26" s="1716" t="s">
        <v>1749</v>
      </c>
      <c r="C26" s="1717"/>
      <c r="D26" s="1505" t="s">
        <v>319</v>
      </c>
      <c r="E26" s="1505">
        <v>25</v>
      </c>
      <c r="F26" s="1506">
        <f>+SUMIF('BAL N'!I:I,"=64",'BAL N'!G:G)</f>
        <v>88736620</v>
      </c>
      <c r="G26" s="1507">
        <f>+SUMIF('BAL N-1'!I:I,"=64",'BAL N-1'!G:G)</f>
        <v>431794</v>
      </c>
    </row>
    <row r="27" spans="1:7" ht="39" customHeight="1" x14ac:dyDescent="0.25">
      <c r="A27" s="1494" t="s">
        <v>342</v>
      </c>
      <c r="B27" s="1716" t="s">
        <v>1748</v>
      </c>
      <c r="C27" s="1717"/>
      <c r="D27" s="1505" t="s">
        <v>319</v>
      </c>
      <c r="E27" s="1505">
        <v>26</v>
      </c>
      <c r="F27" s="1506">
        <f>+SUMIF('BAL N'!I:I,"=65",'BAL N'!G:G)</f>
        <v>0</v>
      </c>
      <c r="G27" s="1507">
        <f>+SUMIF('BAL N-1'!I:I,"=65",'BAL N-1'!G:G)</f>
        <v>6638784</v>
      </c>
    </row>
    <row r="28" spans="1:7" ht="38.25" customHeight="1" x14ac:dyDescent="0.25">
      <c r="A28" s="1495" t="s">
        <v>343</v>
      </c>
      <c r="B28" s="1724" t="s">
        <v>1747</v>
      </c>
      <c r="C28" s="1725"/>
      <c r="D28" s="1509"/>
      <c r="E28" s="1509"/>
      <c r="F28" s="1510">
        <f>+F10+F15+F16+F17+F18+F19-F20-F21-F22-F23-F24-F25-F26-F27</f>
        <v>793031721</v>
      </c>
      <c r="G28" s="1511">
        <f>+G10+G15+G16+G17+G18+G19-G20-G21-G22-G23-G24-G25-G26-G27</f>
        <v>313287415</v>
      </c>
    </row>
    <row r="29" spans="1:7" ht="38.4" customHeight="1" x14ac:dyDescent="0.25">
      <c r="A29" s="1494" t="s">
        <v>344</v>
      </c>
      <c r="B29" s="1716" t="s">
        <v>1746</v>
      </c>
      <c r="C29" s="1717"/>
      <c r="D29" s="1505" t="s">
        <v>319</v>
      </c>
      <c r="E29" s="1505">
        <v>27</v>
      </c>
      <c r="F29" s="1506">
        <f>+SUMIF('BAL N'!I:I,"=66",'BAL N'!G:G)</f>
        <v>235044031</v>
      </c>
      <c r="G29" s="1507">
        <f>+SUMIF('BAL N-1'!I:I,"=66",'BAL N-1'!G:G)</f>
        <v>76234787</v>
      </c>
    </row>
    <row r="30" spans="1:7" ht="35.25" customHeight="1" x14ac:dyDescent="0.25">
      <c r="A30" s="1495" t="s">
        <v>345</v>
      </c>
      <c r="B30" s="1724" t="s">
        <v>1745</v>
      </c>
      <c r="C30" s="1725"/>
      <c r="D30" s="1509"/>
      <c r="E30" s="1509"/>
      <c r="F30" s="1510">
        <f>+F28-F29</f>
        <v>557987690</v>
      </c>
      <c r="G30" s="1511">
        <f>+G28-G29</f>
        <v>237052628</v>
      </c>
    </row>
    <row r="31" spans="1:7" ht="45" customHeight="1" x14ac:dyDescent="0.25">
      <c r="A31" s="1494" t="s">
        <v>346</v>
      </c>
      <c r="B31" s="1716" t="s">
        <v>1744</v>
      </c>
      <c r="C31" s="1717"/>
      <c r="D31" s="1505" t="s">
        <v>317</v>
      </c>
      <c r="E31" s="1505">
        <v>28</v>
      </c>
      <c r="F31" s="1506">
        <f>+SUMIF('BAL N'!J:J,"=791",'BAL N'!H:H)+SUMIF('BAL N'!J:J,"=798",'BAL N'!H:H)+SUMIF('BAL N'!J:J,"=799",'BAL N'!H:H)</f>
        <v>0</v>
      </c>
      <c r="G31" s="1507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496" t="s">
        <v>347</v>
      </c>
      <c r="B32" s="1722" t="s">
        <v>1743</v>
      </c>
      <c r="C32" s="1723"/>
      <c r="D32" s="1512" t="s">
        <v>319</v>
      </c>
      <c r="E32" s="1512" t="s">
        <v>348</v>
      </c>
      <c r="F32" s="1513">
        <f>+SUMIF('BAL N'!J:J,"=681",'BAL N'!G:G)+SUMIF('BAL N'!J:J,"=691",'BAL N'!G:G)</f>
        <v>146749526</v>
      </c>
      <c r="G32" s="1514">
        <f>+SUMIF('BAL N-1'!J:J,"=681",'BAL N-1'!G:G)+SUMIF('BAL N-1'!J:J,"=691",'BAL N-1'!G:G)</f>
        <v>122873921</v>
      </c>
    </row>
    <row r="33" spans="1:7" ht="33" customHeight="1" x14ac:dyDescent="0.25">
      <c r="A33" s="1495" t="s">
        <v>349</v>
      </c>
      <c r="B33" s="1724" t="s">
        <v>1742</v>
      </c>
      <c r="C33" s="1725"/>
      <c r="D33" s="1509"/>
      <c r="E33" s="1509"/>
      <c r="F33" s="1510">
        <f>+F30+F31-F32</f>
        <v>411238164</v>
      </c>
      <c r="G33" s="1511">
        <f>+G30+G31-G32</f>
        <v>114178707</v>
      </c>
    </row>
    <row r="34" spans="1:7" ht="36" customHeight="1" x14ac:dyDescent="0.25">
      <c r="A34" s="1494" t="s">
        <v>350</v>
      </c>
      <c r="B34" s="1716" t="s">
        <v>1741</v>
      </c>
      <c r="C34" s="1717"/>
      <c r="D34" s="1505" t="s">
        <v>317</v>
      </c>
      <c r="E34" s="1505">
        <v>29</v>
      </c>
      <c r="F34" s="1506">
        <f>+SUMIF('BAL N'!I:I,"=77",'BAL N'!H:H)</f>
        <v>0</v>
      </c>
      <c r="G34" s="1507">
        <f>+SUMIF('BAL N-1'!I:I,"=77",'BAL N-1'!H:H)</f>
        <v>0</v>
      </c>
    </row>
    <row r="35" spans="1:7" ht="36" customHeight="1" x14ac:dyDescent="0.25">
      <c r="A35" s="1494" t="s">
        <v>351</v>
      </c>
      <c r="B35" s="1716" t="s">
        <v>1740</v>
      </c>
      <c r="C35" s="1717"/>
      <c r="D35" s="1505" t="s">
        <v>317</v>
      </c>
      <c r="E35" s="1505">
        <v>28</v>
      </c>
      <c r="F35" s="1506">
        <f>+SUMIF('BAL N'!J:J,"=797",'BAL N'!H:H)</f>
        <v>0</v>
      </c>
      <c r="G35" s="1507">
        <f>+SUMIF('BAL N-1'!J:J,"=797",'BAL N-1'!H:H)</f>
        <v>0</v>
      </c>
    </row>
    <row r="36" spans="1:7" ht="36" customHeight="1" x14ac:dyDescent="0.25">
      <c r="A36" s="1494" t="s">
        <v>352</v>
      </c>
      <c r="B36" s="1716" t="s">
        <v>1739</v>
      </c>
      <c r="C36" s="1717"/>
      <c r="D36" s="1505" t="s">
        <v>317</v>
      </c>
      <c r="E36" s="1505">
        <v>12</v>
      </c>
      <c r="F36" s="1506">
        <f>+SUMIF('BAL N'!J:J,"=787",'BAL N'!H:H)</f>
        <v>0</v>
      </c>
      <c r="G36" s="1507">
        <f>+SUMIF('BAL N-1'!J:J,"=787",'BAL N-1'!H:H)</f>
        <v>0</v>
      </c>
    </row>
    <row r="37" spans="1:7" ht="36" customHeight="1" x14ac:dyDescent="0.25">
      <c r="A37" s="1494" t="s">
        <v>353</v>
      </c>
      <c r="B37" s="1716" t="s">
        <v>1738</v>
      </c>
      <c r="C37" s="1717"/>
      <c r="D37" s="1505" t="s">
        <v>319</v>
      </c>
      <c r="E37" s="1505">
        <v>29</v>
      </c>
      <c r="F37" s="1506">
        <f>+SUMIF('BAL N'!I:I,"=67",'BAL N'!G:G)</f>
        <v>0</v>
      </c>
      <c r="G37" s="1507">
        <f>+SUMIF('BAL N-1'!I:I,"=67",'BAL N-1'!G:G)</f>
        <v>0</v>
      </c>
    </row>
    <row r="38" spans="1:7" ht="36" customHeight="1" x14ac:dyDescent="0.25">
      <c r="A38" s="1494" t="s">
        <v>354</v>
      </c>
      <c r="B38" s="1716" t="s">
        <v>1737</v>
      </c>
      <c r="C38" s="1717"/>
      <c r="D38" s="1505" t="s">
        <v>319</v>
      </c>
      <c r="E38" s="1505" t="s">
        <v>348</v>
      </c>
      <c r="F38" s="1506">
        <f>SUMIF('BAL N'!J:J,"=697",'BAL N'!G:G)</f>
        <v>0</v>
      </c>
      <c r="G38" s="1507">
        <f>+SUMIF('BAL N-1'!J:J,"=697",'BAL N-1'!G:G)</f>
        <v>0</v>
      </c>
    </row>
    <row r="39" spans="1:7" ht="27" customHeight="1" x14ac:dyDescent="0.25">
      <c r="A39" s="1495" t="s">
        <v>355</v>
      </c>
      <c r="B39" s="1724" t="s">
        <v>1736</v>
      </c>
      <c r="C39" s="1725"/>
      <c r="D39" s="1509"/>
      <c r="E39" s="1509"/>
      <c r="F39" s="1510">
        <f>+F34+F35+F36-F37-F38</f>
        <v>0</v>
      </c>
      <c r="G39" s="1511">
        <f>+G34+G35+G36-G37-G38</f>
        <v>0</v>
      </c>
    </row>
    <row r="40" spans="1:7" ht="30.6" customHeight="1" x14ac:dyDescent="0.25">
      <c r="A40" s="1497" t="s">
        <v>356</v>
      </c>
      <c r="B40" s="1726" t="s">
        <v>1735</v>
      </c>
      <c r="C40" s="1727"/>
      <c r="D40" s="1515"/>
      <c r="E40" s="1515"/>
      <c r="F40" s="1516">
        <f>+F33+F39</f>
        <v>411238164</v>
      </c>
      <c r="G40" s="1517">
        <f>+G33+G39</f>
        <v>114178707</v>
      </c>
    </row>
    <row r="41" spans="1:7" ht="36" customHeight="1" x14ac:dyDescent="0.25">
      <c r="A41" s="1494" t="s">
        <v>357</v>
      </c>
      <c r="B41" s="1716" t="s">
        <v>1734</v>
      </c>
      <c r="C41" s="1717"/>
      <c r="D41" s="1505" t="s">
        <v>317</v>
      </c>
      <c r="E41" s="1505" t="s">
        <v>358</v>
      </c>
      <c r="F41" s="1506">
        <f>+SUMIF('BAL N'!I:I,"=82",'BAL N'!H:H)</f>
        <v>0</v>
      </c>
      <c r="G41" s="1507">
        <f>+SUMIF('BAL N-1'!I:I,"=82",'BAL N-1'!H:H)</f>
        <v>0</v>
      </c>
    </row>
    <row r="42" spans="1:7" ht="36" customHeight="1" x14ac:dyDescent="0.25">
      <c r="A42" s="1494" t="s">
        <v>359</v>
      </c>
      <c r="B42" s="1716" t="s">
        <v>1733</v>
      </c>
      <c r="C42" s="1717"/>
      <c r="D42" s="1505" t="s">
        <v>317</v>
      </c>
      <c r="E42" s="1505">
        <v>30</v>
      </c>
      <c r="F42" s="1506">
        <f>+SUMIF('BAL N'!I:I,"=84",'BAL N'!H:H)+SUMIF('BAL N'!I:I,"=86",'BAL N'!H:H)+SUMIF('BAL N'!I:I,"=88",'BAL N'!H:H)</f>
        <v>0</v>
      </c>
      <c r="G42" s="1507">
        <f>+SUMIF('BAL N-1'!I:I,"=84",'BAL N-1'!H:H)+SUMIF('BAL N-1'!I:I,"=86",'BAL N-1'!H:H)</f>
        <v>0</v>
      </c>
    </row>
    <row r="43" spans="1:7" ht="36" customHeight="1" x14ac:dyDescent="0.25">
      <c r="A43" s="1494" t="s">
        <v>360</v>
      </c>
      <c r="B43" s="1716" t="s">
        <v>1732</v>
      </c>
      <c r="C43" s="1717"/>
      <c r="D43" s="1505" t="s">
        <v>319</v>
      </c>
      <c r="E43" s="1505" t="s">
        <v>358</v>
      </c>
      <c r="F43" s="1506">
        <f>+SUMIF('BAL N'!I:I,"=81",'BAL N'!G:G)</f>
        <v>0</v>
      </c>
      <c r="G43" s="1507">
        <f>+SUMIF('BAL N-1'!I:I,"=81",'BAL N-1'!G:G)</f>
        <v>0</v>
      </c>
    </row>
    <row r="44" spans="1:7" ht="36" customHeight="1" x14ac:dyDescent="0.25">
      <c r="A44" s="1494" t="s">
        <v>361</v>
      </c>
      <c r="B44" s="1716" t="s">
        <v>1731</v>
      </c>
      <c r="C44" s="1717"/>
      <c r="D44" s="1505" t="s">
        <v>319</v>
      </c>
      <c r="E44" s="1505">
        <v>30</v>
      </c>
      <c r="F44" s="1506">
        <f>+SUMIF('BAL N'!I:I,"=83",'BAL N'!G:G)+SUMIF('BAL N'!I:I,"=85",'BAL N'!G:G)</f>
        <v>0</v>
      </c>
      <c r="G44" s="1507">
        <f>+SUMIF('BAL N-1'!I:I,"=83",'BAL N-1'!G:G)+SUMIF('BAL N-1'!I:I,"=85",'BAL N-1'!G:G)</f>
        <v>0</v>
      </c>
    </row>
    <row r="45" spans="1:7" ht="51.75" customHeight="1" x14ac:dyDescent="0.25">
      <c r="A45" s="1497" t="s">
        <v>362</v>
      </c>
      <c r="B45" s="1726" t="s">
        <v>1730</v>
      </c>
      <c r="C45" s="1727"/>
      <c r="D45" s="1515"/>
      <c r="E45" s="1515"/>
      <c r="F45" s="1516">
        <f>+F41+F42-F43-F44</f>
        <v>0</v>
      </c>
      <c r="G45" s="1517">
        <f>+G41+G42-G43-G44</f>
        <v>0</v>
      </c>
    </row>
    <row r="46" spans="1:7" ht="33" customHeight="1" x14ac:dyDescent="0.25">
      <c r="A46" s="1494" t="s">
        <v>363</v>
      </c>
      <c r="B46" s="1716" t="s">
        <v>1729</v>
      </c>
      <c r="C46" s="1717"/>
      <c r="D46" s="1505" t="s">
        <v>319</v>
      </c>
      <c r="E46" s="1505">
        <v>30</v>
      </c>
      <c r="F46" s="1506">
        <f>+SUMIF('BAL N'!I:I,"=87",'BAL N'!G:G)</f>
        <v>0</v>
      </c>
      <c r="G46" s="1507">
        <f>+SUMIF('BAL N-1'!I:I,"=87",'BAL N-1'!G:G)</f>
        <v>0</v>
      </c>
    </row>
    <row r="47" spans="1:7" ht="33" customHeight="1" x14ac:dyDescent="0.25">
      <c r="A47" s="1494" t="s">
        <v>364</v>
      </c>
      <c r="B47" s="1716" t="s">
        <v>1728</v>
      </c>
      <c r="C47" s="1717"/>
      <c r="D47" s="1505" t="s">
        <v>319</v>
      </c>
      <c r="E47" s="1505"/>
      <c r="F47" s="1506">
        <f>+SUMIF('BAL N'!I:I,"=89",'BAL N'!G:G)</f>
        <v>74992385</v>
      </c>
      <c r="G47" s="1507">
        <f>+SUMIF('BAL N-1'!I:I,"=89",'BAL N-1'!G:G)</f>
        <v>17126791</v>
      </c>
    </row>
    <row r="48" spans="1:7" ht="34.200000000000003" customHeight="1" thickBot="1" x14ac:dyDescent="0.3">
      <c r="A48" s="1498" t="s">
        <v>365</v>
      </c>
      <c r="B48" s="1728" t="s">
        <v>1727</v>
      </c>
      <c r="C48" s="1729"/>
      <c r="D48" s="1518"/>
      <c r="E48" s="1518"/>
      <c r="F48" s="1519">
        <f>+F40+F45-F46-F47</f>
        <v>336245779</v>
      </c>
      <c r="G48" s="1520">
        <f>+G40+G45-G46-G47</f>
        <v>97051916</v>
      </c>
    </row>
    <row r="52" spans="3:7" ht="12.75" customHeight="1" x14ac:dyDescent="0.25">
      <c r="C52" s="1712"/>
      <c r="D52" s="218"/>
    </row>
    <row r="53" spans="3:7" ht="12.75" customHeight="1" x14ac:dyDescent="0.25">
      <c r="C53" s="1712"/>
      <c r="D53" s="218"/>
    </row>
    <row r="54" spans="3:7" ht="12.75" customHeight="1" x14ac:dyDescent="0.25">
      <c r="C54" s="1712"/>
      <c r="D54" s="218"/>
    </row>
    <row r="57" spans="3:7" ht="12.75" customHeight="1" x14ac:dyDescent="0.25">
      <c r="C57" s="1712"/>
      <c r="D57" s="218"/>
    </row>
    <row r="58" spans="3:7" ht="12.75" customHeight="1" x14ac:dyDescent="0.25">
      <c r="C58" s="171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abSelected="1" zoomScale="58" zoomScaleNormal="45" workbookViewId="0">
      <selection activeCell="C3" sqref="C3:D3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01" customWidth="1"/>
    <col min="3" max="3" width="6.109375" style="2001" customWidth="1"/>
    <col min="4" max="4" width="20.44140625" style="1" customWidth="1"/>
    <col min="5" max="5" width="30.33203125" style="2025" customWidth="1"/>
    <col min="6" max="6" width="29.6640625" style="2025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24"/>
      <c r="B2" s="1988"/>
      <c r="C2" s="2002"/>
      <c r="D2" s="292"/>
      <c r="E2" s="2010"/>
      <c r="F2" s="2027"/>
    </row>
    <row r="3" spans="1:7" s="4" customFormat="1" ht="45.6" customHeight="1" x14ac:dyDescent="0.3">
      <c r="A3" s="2112" t="s">
        <v>1761</v>
      </c>
      <c r="B3" s="1501" t="str">
        <f>'Fiche de renseignement R1'!$J$4</f>
        <v>AFRICACOLD SARL</v>
      </c>
      <c r="C3" s="2114" t="s">
        <v>417</v>
      </c>
      <c r="D3" s="2114"/>
      <c r="E3" s="1084">
        <f>+'Fiche de renseignement R1'!$V$10</f>
        <v>46022</v>
      </c>
      <c r="F3" s="1098"/>
    </row>
    <row r="4" spans="1:7" s="4" customFormat="1" ht="50.4" customHeight="1" x14ac:dyDescent="0.3">
      <c r="A4" s="2113" t="s">
        <v>1762</v>
      </c>
      <c r="B4" s="1501" t="str">
        <f>+'Fiche de renseignement R1'!$J$10</f>
        <v>04395621 2E2</v>
      </c>
      <c r="C4" s="2114" t="s">
        <v>418</v>
      </c>
      <c r="D4" s="2114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25"/>
      <c r="B5" s="1989"/>
      <c r="C5" s="2003"/>
      <c r="D5" s="295"/>
      <c r="E5" s="2011"/>
      <c r="F5" s="2028"/>
    </row>
    <row r="6" spans="1:7" s="38" customFormat="1" ht="37.799999999999997" customHeight="1" x14ac:dyDescent="0.25">
      <c r="A6" s="1538" t="s">
        <v>199</v>
      </c>
      <c r="B6" s="1527" t="s">
        <v>314</v>
      </c>
      <c r="C6" s="1527"/>
      <c r="D6" s="1528" t="s">
        <v>315</v>
      </c>
      <c r="E6" s="1528" t="str">
        <f>IFERROR("31/12/"&amp;YEAR('Fiche de renseignement R1'!V10),"Exercice au 31/12/N")</f>
        <v>31/12/2025</v>
      </c>
      <c r="F6" s="1529" t="str">
        <f>IFERROR("31/12/"&amp;YEAR('Fiche de renseignement R1'!Q20),"Exercice au 31/12/N-1")</f>
        <v>31/12/2024</v>
      </c>
    </row>
    <row r="7" spans="1:7" ht="54.6" customHeight="1" x14ac:dyDescent="0.25">
      <c r="A7" s="1539" t="s">
        <v>26</v>
      </c>
      <c r="B7" s="1990" t="s">
        <v>366</v>
      </c>
      <c r="C7" s="2004" t="s">
        <v>108</v>
      </c>
      <c r="D7" s="1530"/>
      <c r="E7" s="2012">
        <f>'BILAN PAYSAGE'!G34-'BILAN PAYSAGE'!K34</f>
        <v>247921698</v>
      </c>
      <c r="F7" s="202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40"/>
      <c r="B8" s="1991" t="s">
        <v>367</v>
      </c>
      <c r="C8" s="2005"/>
      <c r="D8" s="1531"/>
      <c r="E8" s="2013"/>
      <c r="F8" s="2030"/>
    </row>
    <row r="9" spans="1:7" ht="49.8" customHeight="1" x14ac:dyDescent="0.25">
      <c r="A9" s="1541" t="s">
        <v>368</v>
      </c>
      <c r="B9" s="1992" t="s">
        <v>369</v>
      </c>
      <c r="C9" s="2006"/>
      <c r="D9" s="1532"/>
      <c r="E9" s="2014">
        <f>'COMPTE DE RESULTAT'!F48+'COMPTE DE RESULTAT'!F32-'COMPTE DE RESULTAT'!F31-'COMPTE DE RESULTAT'!F45</f>
        <v>482995305</v>
      </c>
      <c r="F9" s="2031">
        <f>'COMPTE DE RESULTAT'!G48+'COMPTE DE RESULTAT'!G32-'COMPTE DE RESULTAT'!G31-'COMPTE DE RESULTAT'!G45</f>
        <v>219925837</v>
      </c>
    </row>
    <row r="10" spans="1:7" ht="49.8" customHeight="1" x14ac:dyDescent="0.25">
      <c r="A10" s="1541" t="s">
        <v>370</v>
      </c>
      <c r="B10" s="1993" t="s">
        <v>1235</v>
      </c>
      <c r="C10" s="2006"/>
      <c r="D10" s="1532"/>
      <c r="E10" s="2014"/>
      <c r="F10" s="2032"/>
    </row>
    <row r="11" spans="1:7" ht="49.8" customHeight="1" x14ac:dyDescent="0.25">
      <c r="A11" s="1541" t="s">
        <v>371</v>
      </c>
      <c r="B11" s="1993" t="s">
        <v>372</v>
      </c>
      <c r="C11" s="2006"/>
      <c r="D11" s="1532"/>
      <c r="E11" s="2014">
        <f>+'BILAN PAYSAGE'!F25-'BILAN PAYSAGE'!G25</f>
        <v>-431895875</v>
      </c>
      <c r="F11" s="203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41" t="s">
        <v>373</v>
      </c>
      <c r="B12" s="1993" t="s">
        <v>374</v>
      </c>
      <c r="C12" s="2006"/>
      <c r="D12" s="1532"/>
      <c r="E12" s="2015">
        <f>+('BILAN PAYSAGE'!F27-'BILAN PAYSAGE'!G27)+('BILAN PAYSAGE'!F28-'BILAN PAYSAGE'!G28)+('BILAN PAYSAGE'!F29-'BILAN PAYSAGE'!G29)</f>
        <v>508439498</v>
      </c>
      <c r="F12" s="2032">
        <v>0</v>
      </c>
      <c r="G12" s="569"/>
    </row>
    <row r="13" spans="1:7" ht="49.8" customHeight="1" x14ac:dyDescent="0.25">
      <c r="A13" s="1541" t="s">
        <v>375</v>
      </c>
      <c r="B13" s="1993" t="s">
        <v>1778</v>
      </c>
      <c r="C13" s="2006"/>
      <c r="D13" s="1532"/>
      <c r="E13" s="2015">
        <f>+'BILAN PAYSAGE'!K30-'BILAN PAYSAGE'!L30</f>
        <v>28976974</v>
      </c>
      <c r="F13" s="2032">
        <v>0</v>
      </c>
      <c r="G13" s="570"/>
    </row>
    <row r="14" spans="1:7" ht="49.8" customHeight="1" x14ac:dyDescent="0.25">
      <c r="A14" s="1541"/>
      <c r="B14" s="1994" t="s">
        <v>376</v>
      </c>
      <c r="C14" s="2006"/>
      <c r="D14" s="1532"/>
      <c r="E14" s="2014"/>
      <c r="F14" s="2032"/>
    </row>
    <row r="15" spans="1:7" ht="55.2" customHeight="1" x14ac:dyDescent="0.25">
      <c r="A15" s="1539" t="s">
        <v>30</v>
      </c>
      <c r="B15" s="1990" t="s">
        <v>377</v>
      </c>
      <c r="C15" s="2004" t="s">
        <v>378</v>
      </c>
      <c r="D15" s="1533"/>
      <c r="E15" s="2016">
        <f>+E9-E10-E11-E12+E13</f>
        <v>435428656</v>
      </c>
      <c r="F15" s="2033">
        <f>IFERROR(+F9-F10-F11-F12+F13,0)</f>
        <v>153300321</v>
      </c>
    </row>
    <row r="16" spans="1:7" ht="40.799999999999997" customHeight="1" x14ac:dyDescent="0.25">
      <c r="A16" s="1540"/>
      <c r="B16" s="1995" t="s">
        <v>379</v>
      </c>
      <c r="C16" s="2005"/>
      <c r="D16" s="1534"/>
      <c r="E16" s="2017"/>
      <c r="F16" s="2030"/>
    </row>
    <row r="17" spans="1:6" ht="55.8" customHeight="1" x14ac:dyDescent="0.25">
      <c r="A17" s="1541" t="s">
        <v>380</v>
      </c>
      <c r="B17" s="1996" t="s">
        <v>381</v>
      </c>
      <c r="C17" s="2007"/>
      <c r="D17" s="1535"/>
      <c r="E17" s="201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4">
        <v>0</v>
      </c>
    </row>
    <row r="18" spans="1:6" ht="55.8" customHeight="1" x14ac:dyDescent="0.25">
      <c r="A18" s="1541" t="s">
        <v>382</v>
      </c>
      <c r="B18" s="1996" t="s">
        <v>383</v>
      </c>
      <c r="C18" s="2007"/>
      <c r="D18" s="1535"/>
      <c r="E18" s="2019">
        <f>+SUMIF('BAL N'!I:I,"=22",'BAL N'!E:E)+SUMIF('BAL N'!I:I,"=23",'BAL N'!E:E)+SUMIF('BAL N'!I:I,"=24",'BAL N'!E:E)</f>
        <v>292374416</v>
      </c>
      <c r="F18" s="2034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41" t="s">
        <v>384</v>
      </c>
      <c r="B19" s="1996" t="s">
        <v>385</v>
      </c>
      <c r="C19" s="2007"/>
      <c r="D19" s="1535"/>
      <c r="E19" s="2018">
        <f>(+SUMIF('BAL N'!I:I,"=25",'BAL N'!E:E)+SUMIF('BAL N'!I:I,"=26",'BAL N'!E:E)+SUMIF('BAL N'!I:I,"=27",'BAL N'!E:E))</f>
        <v>20102020</v>
      </c>
      <c r="F19" s="2034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41" t="s">
        <v>386</v>
      </c>
      <c r="B20" s="1996" t="s">
        <v>387</v>
      </c>
      <c r="C20" s="2007"/>
      <c r="D20" s="1535"/>
      <c r="E20" s="2018">
        <f>+SUMIF('BAL N'!I:I,"=82",'BAL N'!H:H)</f>
        <v>0</v>
      </c>
      <c r="F20" s="2034">
        <v>0</v>
      </c>
    </row>
    <row r="21" spans="1:6" ht="55.8" customHeight="1" x14ac:dyDescent="0.25">
      <c r="A21" s="1541" t="s">
        <v>388</v>
      </c>
      <c r="B21" s="1996" t="s">
        <v>389</v>
      </c>
      <c r="C21" s="2007"/>
      <c r="D21" s="1535"/>
      <c r="E21" s="2018"/>
      <c r="F21" s="2034"/>
    </row>
    <row r="22" spans="1:6" ht="46.2" customHeight="1" x14ac:dyDescent="0.25">
      <c r="A22" s="1539" t="s">
        <v>32</v>
      </c>
      <c r="B22" s="1997" t="s">
        <v>390</v>
      </c>
      <c r="C22" s="2004" t="s">
        <v>391</v>
      </c>
      <c r="D22" s="1536"/>
      <c r="E22" s="2020">
        <f>-E17-E18-E19+E20+E21</f>
        <v>-312476436</v>
      </c>
      <c r="F22" s="2035">
        <f>IFERROR(-F17-F18-F19+F20+F21,0)</f>
        <v>-193480241</v>
      </c>
    </row>
    <row r="23" spans="1:6" ht="42.6" customHeight="1" x14ac:dyDescent="0.25">
      <c r="A23" s="1540"/>
      <c r="B23" s="1995" t="s">
        <v>392</v>
      </c>
      <c r="C23" s="2005"/>
      <c r="D23" s="1534"/>
      <c r="E23" s="2017"/>
      <c r="F23" s="2030"/>
    </row>
    <row r="24" spans="1:6" ht="37.799999999999997" customHeight="1" x14ac:dyDescent="0.25">
      <c r="A24" s="1541" t="s">
        <v>393</v>
      </c>
      <c r="B24" s="1996" t="s">
        <v>394</v>
      </c>
      <c r="C24" s="2007"/>
      <c r="D24" s="1535"/>
      <c r="E24" s="2018"/>
      <c r="F24" s="2034"/>
    </row>
    <row r="25" spans="1:6" ht="37.799999999999997" customHeight="1" x14ac:dyDescent="0.25">
      <c r="A25" s="1541" t="s">
        <v>395</v>
      </c>
      <c r="B25" s="1996" t="s">
        <v>396</v>
      </c>
      <c r="C25" s="2007"/>
      <c r="D25" s="1535"/>
      <c r="E25" s="2018">
        <f>+SUMIF('BAL N'!I:I,"=14",'BAL N'!F:F)</f>
        <v>0</v>
      </c>
      <c r="F25" s="2034" t="s">
        <v>319</v>
      </c>
    </row>
    <row r="26" spans="1:6" ht="37.799999999999997" customHeight="1" x14ac:dyDescent="0.25">
      <c r="A26" s="1541" t="s">
        <v>397</v>
      </c>
      <c r="B26" s="1996" t="s">
        <v>398</v>
      </c>
      <c r="C26" s="2007"/>
      <c r="D26" s="1535"/>
      <c r="E26" s="2018"/>
      <c r="F26" s="2034"/>
    </row>
    <row r="27" spans="1:6" ht="37.799999999999997" customHeight="1" x14ac:dyDescent="0.25">
      <c r="A27" s="1541" t="s">
        <v>399</v>
      </c>
      <c r="B27" s="1996" t="s">
        <v>400</v>
      </c>
      <c r="C27" s="2007"/>
      <c r="D27" s="1535"/>
      <c r="E27" s="2018"/>
      <c r="F27" s="2034"/>
    </row>
    <row r="28" spans="1:6" ht="57.6" customHeight="1" x14ac:dyDescent="0.25">
      <c r="A28" s="1540" t="s">
        <v>35</v>
      </c>
      <c r="B28" s="1995" t="s">
        <v>1236</v>
      </c>
      <c r="C28" s="2005" t="s">
        <v>401</v>
      </c>
      <c r="D28" s="1534"/>
      <c r="E28" s="2017">
        <f>+E24+E25-E26-E27</f>
        <v>0</v>
      </c>
      <c r="F28" s="2030">
        <f>IFERROR(+F24+F25-F26-F27,0)</f>
        <v>0</v>
      </c>
    </row>
    <row r="29" spans="1:6" ht="57.6" customHeight="1" x14ac:dyDescent="0.25">
      <c r="A29" s="1540"/>
      <c r="B29" s="1995" t="s">
        <v>402</v>
      </c>
      <c r="C29" s="2005"/>
      <c r="D29" s="1534"/>
      <c r="E29" s="2017"/>
      <c r="F29" s="2030"/>
    </row>
    <row r="30" spans="1:6" ht="43.2" customHeight="1" x14ac:dyDescent="0.25">
      <c r="A30" s="1541" t="s">
        <v>403</v>
      </c>
      <c r="B30" s="1996" t="s">
        <v>404</v>
      </c>
      <c r="C30" s="2008"/>
      <c r="D30" s="1535"/>
      <c r="E30" s="2018">
        <f>+SUMIF('BAL N'!J:J,"=161",'BAL N'!F:F)+SUMIF('BAL N'!J:J,"=162",'BAL N'!F:F)+SUMIF('BAL N'!K:K,"=1661",'BAL N'!F:F)+SUMIF('BAL N'!K:K,"=1662",'BAL N'!F:F)</f>
        <v>0</v>
      </c>
      <c r="F30" s="2034" t="s">
        <v>319</v>
      </c>
    </row>
    <row r="31" spans="1:6" ht="43.2" customHeight="1" x14ac:dyDescent="0.25">
      <c r="A31" s="1541" t="s">
        <v>405</v>
      </c>
      <c r="B31" s="1996" t="s">
        <v>406</v>
      </c>
      <c r="C31" s="2007"/>
      <c r="D31" s="1535"/>
      <c r="E31" s="2018">
        <f>+SUMIF('BAL N'!I:I,"=17",'BAL N'!H:H)</f>
        <v>0</v>
      </c>
      <c r="F31" s="2034" t="s">
        <v>319</v>
      </c>
    </row>
    <row r="32" spans="1:6" ht="43.2" customHeight="1" x14ac:dyDescent="0.25">
      <c r="A32" s="1541" t="s">
        <v>407</v>
      </c>
      <c r="B32" s="1996" t="s">
        <v>408</v>
      </c>
      <c r="C32" s="2007"/>
      <c r="D32" s="1535"/>
      <c r="E32" s="2018">
        <f>+SUMIF('BAL N'!I:I,"=16",'BAL N'!E:E)+SUMIF('BAL N'!I:I,"=17",'BAL N'!E:E)+SUMIF('BAL N'!I:I,"=18",'BAL N'!E:E)</f>
        <v>0</v>
      </c>
      <c r="F32" s="2034" t="s">
        <v>319</v>
      </c>
    </row>
    <row r="33" spans="1:6" ht="49.8" customHeight="1" x14ac:dyDescent="0.25">
      <c r="A33" s="1540" t="s">
        <v>39</v>
      </c>
      <c r="B33" s="1995" t="s">
        <v>1237</v>
      </c>
      <c r="C33" s="2005" t="s">
        <v>409</v>
      </c>
      <c r="D33" s="1534"/>
      <c r="E33" s="2017">
        <f>+E30+E31-E32</f>
        <v>0</v>
      </c>
      <c r="F33" s="2030">
        <f>IFERROR(+F30+F31-F32,0)</f>
        <v>0</v>
      </c>
    </row>
    <row r="34" spans="1:6" ht="43.8" customHeight="1" x14ac:dyDescent="0.25">
      <c r="A34" s="1539" t="s">
        <v>41</v>
      </c>
      <c r="B34" s="1997" t="s">
        <v>1238</v>
      </c>
      <c r="C34" s="2004" t="s">
        <v>410</v>
      </c>
      <c r="D34" s="1536"/>
      <c r="E34" s="2021">
        <f>+E28+E33</f>
        <v>0</v>
      </c>
      <c r="F34" s="2036">
        <f>+F28+F33</f>
        <v>0</v>
      </c>
    </row>
    <row r="35" spans="1:6" ht="53.4" customHeight="1" x14ac:dyDescent="0.25">
      <c r="A35" s="1540" t="s">
        <v>43</v>
      </c>
      <c r="B35" s="1995" t="s">
        <v>411</v>
      </c>
      <c r="C35" s="2005" t="s">
        <v>412</v>
      </c>
      <c r="D35" s="1534"/>
      <c r="E35" s="2022">
        <f>+E34+E22+E15</f>
        <v>122952220</v>
      </c>
      <c r="F35" s="2037">
        <f>IFERROR(+F34+F22+F15,0)</f>
        <v>-40179920</v>
      </c>
    </row>
    <row r="36" spans="1:6" ht="53.4" customHeight="1" thickBot="1" x14ac:dyDescent="0.3">
      <c r="A36" s="1542" t="s">
        <v>48</v>
      </c>
      <c r="B36" s="1998" t="s">
        <v>413</v>
      </c>
      <c r="C36" s="2009" t="s">
        <v>414</v>
      </c>
      <c r="D36" s="1537"/>
      <c r="E36" s="2023">
        <f>'BILAN PAYSAGE'!F34-'BILAN PAYSAGE'!K34</f>
        <v>502891032</v>
      </c>
      <c r="F36" s="2038">
        <f>IFERROR(+F35+F7,0)</f>
        <v>180772970</v>
      </c>
    </row>
    <row r="37" spans="1:6" ht="12.6" customHeight="1" x14ac:dyDescent="0.25">
      <c r="A37" s="1526"/>
      <c r="B37" s="1999"/>
      <c r="C37" s="1999"/>
      <c r="D37" s="107"/>
      <c r="E37" s="2024"/>
      <c r="F37" s="2024"/>
    </row>
    <row r="40" spans="1:6" ht="12.75" customHeight="1" x14ac:dyDescent="0.25">
      <c r="B40" s="2000"/>
      <c r="C40" s="2000"/>
    </row>
    <row r="41" spans="1:6" ht="12.75" customHeight="1" x14ac:dyDescent="0.25">
      <c r="B41" s="2000"/>
      <c r="C41" s="2000"/>
    </row>
    <row r="42" spans="1:6" ht="12.75" customHeight="1" x14ac:dyDescent="0.25">
      <c r="B42" s="2000"/>
      <c r="C42" s="2000"/>
    </row>
    <row r="45" spans="1:6" ht="12.75" customHeight="1" x14ac:dyDescent="0.25">
      <c r="B45" s="2000"/>
      <c r="C45" s="2000"/>
    </row>
    <row r="46" spans="1:6" ht="12.75" customHeight="1" x14ac:dyDescent="0.25">
      <c r="B46" s="2000"/>
      <c r="C46" s="2000"/>
    </row>
    <row r="49" spans="5:6" ht="12.75" customHeight="1" x14ac:dyDescent="0.25">
      <c r="E49" s="2026"/>
      <c r="F49" s="2026"/>
    </row>
    <row r="50" spans="5:6" ht="12.75" customHeight="1" x14ac:dyDescent="0.25">
      <c r="E50" s="2026"/>
      <c r="F50" s="2026"/>
    </row>
    <row r="51" spans="5:6" ht="12.75" customHeight="1" x14ac:dyDescent="0.25">
      <c r="E51" s="2026"/>
      <c r="F51" s="2026"/>
    </row>
    <row r="52" spans="5:6" ht="12.75" customHeight="1" x14ac:dyDescent="0.25">
      <c r="E52" s="2026"/>
      <c r="F52" s="2026"/>
    </row>
    <row r="53" spans="5:6" ht="12.75" customHeight="1" x14ac:dyDescent="0.25">
      <c r="E53" s="2026"/>
      <c r="F53" s="2026"/>
    </row>
    <row r="54" spans="5:6" ht="12.75" customHeight="1" x14ac:dyDescent="0.25">
      <c r="E54" s="2026"/>
      <c r="F54" s="2026"/>
    </row>
    <row r="55" spans="5:6" ht="12.75" customHeight="1" x14ac:dyDescent="0.25">
      <c r="E55" s="2026"/>
      <c r="F55" s="2026"/>
    </row>
    <row r="56" spans="5:6" ht="12.75" customHeight="1" x14ac:dyDescent="0.25">
      <c r="E56" s="2026"/>
      <c r="F56" s="2026"/>
    </row>
    <row r="57" spans="5:6" ht="12.75" customHeight="1" x14ac:dyDescent="0.25">
      <c r="E57" s="2026"/>
      <c r="F57" s="2026"/>
    </row>
    <row r="58" spans="5:6" ht="12.75" customHeight="1" x14ac:dyDescent="0.25">
      <c r="E58" s="2026"/>
      <c r="F58" s="2026"/>
    </row>
    <row r="59" spans="5:6" ht="12.75" customHeight="1" x14ac:dyDescent="0.25">
      <c r="E59" s="2026"/>
      <c r="F59" s="2026"/>
    </row>
    <row r="60" spans="5:6" ht="12.75" customHeight="1" x14ac:dyDescent="0.25">
      <c r="E60" s="2026"/>
      <c r="F60" s="2026"/>
    </row>
    <row r="61" spans="5:6" ht="12.75" customHeight="1" x14ac:dyDescent="0.25">
      <c r="E61" s="2026"/>
      <c r="F61" s="2026"/>
    </row>
    <row r="62" spans="5:6" ht="12.75" customHeight="1" x14ac:dyDescent="0.25">
      <c r="E62" s="2026"/>
      <c r="F62" s="2026"/>
    </row>
    <row r="63" spans="5:6" ht="12.75" customHeight="1" x14ac:dyDescent="0.25">
      <c r="E63" s="2026"/>
      <c r="F63" s="2026"/>
    </row>
    <row r="64" spans="5:6" ht="12.75" customHeight="1" x14ac:dyDescent="0.25">
      <c r="E64" s="2026"/>
      <c r="F64" s="2026"/>
    </row>
    <row r="65" spans="5:6" ht="12.75" customHeight="1" x14ac:dyDescent="0.25">
      <c r="E65" s="2026"/>
      <c r="F65" s="2026"/>
    </row>
    <row r="66" spans="5:6" ht="12.75" customHeight="1" x14ac:dyDescent="0.25">
      <c r="E66" s="2026"/>
      <c r="F66" s="2026"/>
    </row>
    <row r="67" spans="5:6" ht="12.75" customHeight="1" x14ac:dyDescent="0.25">
      <c r="E67" s="2026"/>
      <c r="F67" s="2026"/>
    </row>
    <row r="68" spans="5:6" ht="12.75" customHeight="1" x14ac:dyDescent="0.25">
      <c r="E68" s="2026"/>
      <c r="F68" s="2026"/>
    </row>
    <row r="69" spans="5:6" ht="12.75" customHeight="1" x14ac:dyDescent="0.25">
      <c r="E69" s="2026"/>
      <c r="F69" s="2026"/>
    </row>
    <row r="70" spans="5:6" ht="12.75" customHeight="1" x14ac:dyDescent="0.25">
      <c r="E70" s="2026"/>
      <c r="F70" s="2026"/>
    </row>
    <row r="71" spans="5:6" ht="12.75" customHeight="1" x14ac:dyDescent="0.25">
      <c r="E71" s="2026"/>
      <c r="F71" s="2026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39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40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41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44" t="s">
        <v>416</v>
      </c>
      <c r="B3" s="2045" t="str">
        <f>'Fiche de renseignement R1'!$J$4</f>
        <v>AFRICACOLD SARL</v>
      </c>
      <c r="C3" s="2045"/>
      <c r="D3" s="2045"/>
      <c r="E3" s="2046" t="s">
        <v>417</v>
      </c>
      <c r="F3" s="2046"/>
      <c r="G3" s="2047">
        <f>'Note 1'!F3</f>
        <v>46022</v>
      </c>
      <c r="H3" s="2048"/>
      <c r="I3" s="895"/>
    </row>
    <row r="4" spans="1:9" s="761" customFormat="1" ht="30" customHeight="1" x14ac:dyDescent="0.25">
      <c r="A4" s="2049" t="s">
        <v>419</v>
      </c>
      <c r="B4" s="2045" t="str">
        <f>+'Note 1'!B4</f>
        <v>04395621 2E2</v>
      </c>
      <c r="C4" s="2045"/>
      <c r="D4" s="2045"/>
      <c r="E4" s="2050" t="s">
        <v>418</v>
      </c>
      <c r="F4" s="2050"/>
      <c r="G4" s="2051">
        <f>+'Note 1'!F4</f>
        <v>12</v>
      </c>
      <c r="H4" s="2052"/>
    </row>
    <row r="5" spans="1:9" ht="16.8" customHeight="1" x14ac:dyDescent="0.25">
      <c r="A5" s="2049"/>
      <c r="B5" s="2045"/>
      <c r="C5" s="2045"/>
      <c r="D5" s="2045"/>
      <c r="E5" s="2050"/>
      <c r="F5" s="2050"/>
      <c r="G5" s="2051"/>
      <c r="H5" s="2052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85" t="s">
        <v>463</v>
      </c>
      <c r="B7" s="1732" t="s">
        <v>464</v>
      </c>
      <c r="C7" s="1732" t="s">
        <v>465</v>
      </c>
      <c r="D7" s="1732" t="s">
        <v>466</v>
      </c>
      <c r="E7" s="1732" t="s">
        <v>467</v>
      </c>
      <c r="F7" s="1732" t="s">
        <v>468</v>
      </c>
      <c r="G7" s="1732" t="s">
        <v>466</v>
      </c>
      <c r="H7" s="1733" t="s">
        <v>469</v>
      </c>
    </row>
    <row r="8" spans="1:9" ht="20.100000000000001" customHeight="1" x14ac:dyDescent="0.25">
      <c r="A8" s="2085"/>
      <c r="B8" s="1732"/>
      <c r="C8" s="1732"/>
      <c r="D8" s="1732"/>
      <c r="E8" s="1732"/>
      <c r="F8" s="1732"/>
      <c r="G8" s="1734"/>
      <c r="H8" s="1735"/>
    </row>
    <row r="9" spans="1:9" ht="96.6" customHeight="1" x14ac:dyDescent="0.25">
      <c r="A9" s="2086"/>
      <c r="B9" s="1732"/>
      <c r="C9" s="1736"/>
      <c r="D9" s="1736"/>
      <c r="E9" s="1736"/>
      <c r="F9" s="1736"/>
      <c r="G9" s="1737"/>
      <c r="H9" s="173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39" t="str">
        <f>'Fiche de renseignement R1'!$J$4</f>
        <v>AFRICACOLD SARL</v>
      </c>
      <c r="C3" s="1739"/>
      <c r="D3" s="958" t="s">
        <v>417</v>
      </c>
      <c r="E3" s="1741">
        <f>+'Note 1'!F3</f>
        <v>46022</v>
      </c>
      <c r="F3" s="116"/>
    </row>
    <row r="4" spans="1:6" ht="15" customHeight="1" x14ac:dyDescent="0.3">
      <c r="A4" s="1135" t="s">
        <v>419</v>
      </c>
      <c r="B4" s="1739" t="str">
        <f>+'Note 1'!B4</f>
        <v>04395621 2E2</v>
      </c>
      <c r="C4" s="1739"/>
      <c r="D4" s="1138" t="s">
        <v>418</v>
      </c>
      <c r="E4" s="1742">
        <f>+'Note 1'!F4</f>
        <v>12</v>
      </c>
      <c r="F4" s="116"/>
    </row>
    <row r="5" spans="1:6" ht="22.8" customHeight="1" x14ac:dyDescent="0.3">
      <c r="A5" s="1135"/>
      <c r="B5" s="1739"/>
      <c r="C5" s="1739"/>
      <c r="D5" s="1138"/>
      <c r="E5" s="174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499" t="s">
        <v>416</v>
      </c>
      <c r="B3" s="1739" t="str">
        <f>'Fiche de renseignement R1'!$J$4</f>
        <v>AFRICACOLD SARL</v>
      </c>
      <c r="C3" s="1739"/>
      <c r="D3" s="1745" t="s">
        <v>417</v>
      </c>
      <c r="E3" s="1747">
        <f>+'Note 1'!F3</f>
        <v>46022</v>
      </c>
      <c r="F3" s="1748"/>
    </row>
    <row r="4" spans="1:6" ht="15" customHeight="1" x14ac:dyDescent="0.25">
      <c r="A4" s="1743" t="s">
        <v>419</v>
      </c>
      <c r="B4" s="1739" t="str">
        <f>+'Note 1'!B4</f>
        <v>04395621 2E2</v>
      </c>
      <c r="C4" s="1739"/>
      <c r="D4" s="1746" t="s">
        <v>418</v>
      </c>
      <c r="E4" s="1699">
        <f>+'Note 1'!F4</f>
        <v>12</v>
      </c>
      <c r="F4" s="1748"/>
    </row>
    <row r="5" spans="1:6" ht="22.2" customHeight="1" x14ac:dyDescent="0.25">
      <c r="A5" s="1743"/>
      <c r="B5" s="1739"/>
      <c r="C5" s="1739"/>
      <c r="D5" s="1746"/>
      <c r="E5" s="1699"/>
      <c r="F5" s="174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49" t="s">
        <v>489</v>
      </c>
      <c r="C7" s="1749" t="s">
        <v>1375</v>
      </c>
      <c r="D7" s="1749" t="s">
        <v>490</v>
      </c>
      <c r="E7" s="1749" t="s">
        <v>491</v>
      </c>
      <c r="F7" s="1750" t="s">
        <v>492</v>
      </c>
    </row>
    <row r="8" spans="1:6" ht="33" customHeight="1" x14ac:dyDescent="0.25">
      <c r="A8" s="622"/>
      <c r="B8" s="1749"/>
      <c r="C8" s="1749"/>
      <c r="D8" s="1749"/>
      <c r="E8" s="1749"/>
      <c r="F8" s="1750"/>
    </row>
    <row r="9" spans="1:6" ht="37.200000000000003" customHeight="1" x14ac:dyDescent="0.25">
      <c r="A9" s="623"/>
      <c r="B9" s="1751" t="s">
        <v>108</v>
      </c>
      <c r="C9" s="1752" t="s">
        <v>378</v>
      </c>
      <c r="D9" s="1752" t="s">
        <v>493</v>
      </c>
      <c r="E9" s="1752" t="s">
        <v>401</v>
      </c>
      <c r="F9" s="175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ht="15" customHeight="1" x14ac:dyDescent="0.25">
      <c r="A4" s="1135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44"/>
      <c r="C5" s="174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57" customFormat="1" ht="28.8" customHeight="1" x14ac:dyDescent="0.25">
      <c r="A3" s="956" t="s">
        <v>416</v>
      </c>
      <c r="B3" s="1758" t="str">
        <f>'Fiche de renseignement R1'!$J$4</f>
        <v>AFRICACOLD SARL</v>
      </c>
      <c r="C3" s="1758"/>
      <c r="D3" s="955"/>
      <c r="E3" s="955" t="s">
        <v>417</v>
      </c>
      <c r="F3" s="1761">
        <f>+'Note 1'!F3</f>
        <v>46022</v>
      </c>
      <c r="G3" s="1762"/>
    </row>
    <row r="4" spans="1:7" ht="15" customHeight="1" x14ac:dyDescent="0.3">
      <c r="A4" s="1135" t="s">
        <v>419</v>
      </c>
      <c r="B4" s="1758" t="str">
        <f>+'Note 1'!B4</f>
        <v>04395621 2E2</v>
      </c>
      <c r="C4" s="1758"/>
      <c r="D4" s="1288" t="s">
        <v>418</v>
      </c>
      <c r="E4" s="1288"/>
      <c r="F4" s="1759">
        <f>+'Note 1'!F4</f>
        <v>12</v>
      </c>
      <c r="G4" s="1760"/>
    </row>
    <row r="5" spans="1:7" ht="15" customHeight="1" x14ac:dyDescent="0.3">
      <c r="A5" s="1135"/>
      <c r="B5" s="1758"/>
      <c r="C5" s="1758"/>
      <c r="D5" s="1288"/>
      <c r="E5" s="1288"/>
      <c r="F5" s="1759"/>
      <c r="G5" s="176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87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53" t="s">
        <v>622</v>
      </c>
      <c r="F7" s="2054"/>
      <c r="G7" s="2055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44" t="str">
        <f>'Fiche de renseignement R1'!$J$4</f>
        <v>AFRICACOLD SARL</v>
      </c>
      <c r="C3" s="1744"/>
      <c r="D3" s="710"/>
      <c r="E3" s="1138" t="s">
        <v>417</v>
      </c>
      <c r="F3" s="1138"/>
      <c r="G3" s="1755">
        <f>+'Note 1'!F3</f>
        <v>46022</v>
      </c>
      <c r="H3" s="1756"/>
    </row>
    <row r="4" spans="1:8" ht="24.6" customHeight="1" x14ac:dyDescent="0.25">
      <c r="A4" s="956" t="s">
        <v>419</v>
      </c>
      <c r="B4" s="1744" t="str">
        <f>+'Note 1'!B4</f>
        <v>04395621 2E2</v>
      </c>
      <c r="C4" s="174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63">
        <f>SUM(B25:B37)</f>
        <v>0</v>
      </c>
      <c r="C38" s="1763">
        <f>SUM(C25:C37)</f>
        <v>0</v>
      </c>
      <c r="D38" s="176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s="761" customFormat="1" ht="43.8" customHeight="1" x14ac:dyDescent="0.25">
      <c r="A4" s="611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44" t="str">
        <f>'Fiche de renseignement R1'!$J$4</f>
        <v>AFRICACOLD SARL</v>
      </c>
      <c r="C3" s="1744"/>
      <c r="D3" s="1744"/>
      <c r="E3" s="964"/>
      <c r="F3" s="964" t="s">
        <v>417</v>
      </c>
      <c r="G3" s="1755">
        <f>+'Note 1'!F3</f>
        <v>46022</v>
      </c>
      <c r="H3" s="1756"/>
    </row>
    <row r="4" spans="1:8" s="761" customFormat="1" ht="26.4" customHeight="1" x14ac:dyDescent="0.25">
      <c r="A4" s="283" t="s">
        <v>419</v>
      </c>
      <c r="B4" s="1744" t="str">
        <f>+'Note 1'!B4</f>
        <v>04395621 2E2</v>
      </c>
      <c r="C4" s="1744"/>
      <c r="D4" s="174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56" t="s">
        <v>314</v>
      </c>
      <c r="B6" s="1749">
        <f>IFERROR(YEAR('Fiche de renseignement R1'!V10),"Annee N")</f>
        <v>2025</v>
      </c>
      <c r="C6" s="174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57"/>
      <c r="B7" s="2058"/>
      <c r="C7" s="2058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65" t="s">
        <v>760</v>
      </c>
      <c r="B1" s="1766"/>
      <c r="C1" s="1766"/>
      <c r="D1" s="1766"/>
      <c r="E1" s="1766"/>
      <c r="F1" s="1766"/>
      <c r="G1" s="1766"/>
      <c r="H1" s="176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70" t="s">
        <v>416</v>
      </c>
      <c r="B3" s="1744" t="str">
        <f>'Fiche de renseignement R1'!$J$4</f>
        <v>AFRICACOLD SARL</v>
      </c>
      <c r="C3" s="1744"/>
      <c r="D3" s="1744"/>
      <c r="E3" s="1479" t="s">
        <v>417</v>
      </c>
      <c r="F3" s="1479"/>
      <c r="G3" s="1747">
        <f>+'Note 1'!F3</f>
        <v>46022</v>
      </c>
      <c r="H3" s="1768"/>
    </row>
    <row r="4" spans="1:8" ht="42.6" customHeight="1" x14ac:dyDescent="0.25">
      <c r="A4" s="1770" t="s">
        <v>419</v>
      </c>
      <c r="B4" s="1744" t="str">
        <f>+'Note 1'!B4</f>
        <v>04395621 2E2</v>
      </c>
      <c r="C4" s="1744"/>
      <c r="D4" s="1744"/>
      <c r="E4" s="1500" t="s">
        <v>418</v>
      </c>
      <c r="F4" s="1500"/>
      <c r="G4" s="1699">
        <f>+'Note 1'!F4</f>
        <v>12</v>
      </c>
      <c r="H4" s="176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59" t="s">
        <v>314</v>
      </c>
      <c r="B6" s="2060">
        <f>IFERROR(YEAR('Fiche de renseignement R1'!V10),"Annee N")</f>
        <v>2025</v>
      </c>
      <c r="C6" s="2060">
        <f>IFERROR(YEAR('Fiche de renseignement R1'!Q20),"Annee N-1")</f>
        <v>2024</v>
      </c>
      <c r="D6" s="1749" t="s">
        <v>618</v>
      </c>
      <c r="E6" s="1160" t="s">
        <v>506</v>
      </c>
      <c r="F6" s="1749" t="s">
        <v>672</v>
      </c>
      <c r="G6" s="1160" t="s">
        <v>673</v>
      </c>
      <c r="H6" s="1771" t="s">
        <v>674</v>
      </c>
    </row>
    <row r="7" spans="1:8" ht="79.8" customHeight="1" x14ac:dyDescent="0.25">
      <c r="A7" s="2061"/>
      <c r="B7" s="2062"/>
      <c r="C7" s="2062"/>
      <c r="D7" s="2058"/>
      <c r="E7" s="1285"/>
      <c r="F7" s="2058"/>
      <c r="G7" s="1285"/>
      <c r="H7" s="1772"/>
    </row>
    <row r="8" spans="1:8" s="602" customFormat="1" ht="54.6" customHeight="1" x14ac:dyDescent="0.35">
      <c r="A8" s="1773" t="s">
        <v>441</v>
      </c>
      <c r="B8" s="1774">
        <f>+SUMIF('BAL N'!I:I,"=45",'BAL N'!H:H)</f>
        <v>0</v>
      </c>
      <c r="C8" s="1774">
        <f>+SUMIF('BAL N'!I:I,"=45",'BAL N'!D:D)</f>
        <v>0</v>
      </c>
      <c r="D8" s="1775"/>
      <c r="E8" s="177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73" t="s">
        <v>761</v>
      </c>
      <c r="B9" s="1774">
        <f>+SUMIF('BAL N'!J:J,"=461",'BAL N'!H:H)</f>
        <v>0</v>
      </c>
      <c r="C9" s="1774">
        <f>+SUMIF('BAL N'!J:J,"=461",'BAL N'!D:D)</f>
        <v>0</v>
      </c>
      <c r="D9" s="1775"/>
      <c r="E9" s="177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73" t="s">
        <v>762</v>
      </c>
      <c r="B10" s="1777">
        <f>+SUMIF('BAL N'!J:J,"=462",'BAL N'!H:H)</f>
        <v>7874167</v>
      </c>
      <c r="C10" s="1777">
        <f>+SUMIF('BAL N-1'!J:J,"=462",'BAL N-1'!H:H)</f>
        <v>7374167</v>
      </c>
      <c r="D10" s="1778"/>
      <c r="E10" s="177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73" t="s">
        <v>763</v>
      </c>
      <c r="B11" s="1774">
        <f>+SUMIF('BAL N'!J:J,"=465",'BAL N'!H:H)</f>
        <v>0</v>
      </c>
      <c r="C11" s="1774">
        <f>SUMIF('BAL N-1'!J:J,"=465",'BAL N-1'!H:H)</f>
        <v>23000000</v>
      </c>
      <c r="D11" s="1775"/>
      <c r="E11" s="177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73" t="s">
        <v>764</v>
      </c>
      <c r="B12" s="1774">
        <f>+SUMIF('BAL N'!J:J,"=466",'BAL N'!H:H)</f>
        <v>0</v>
      </c>
      <c r="C12" s="1774">
        <f>+SUMIF('BAL N'!J:J,"=466",'BAL N'!D:D)</f>
        <v>0</v>
      </c>
      <c r="D12" s="1775"/>
      <c r="E12" s="177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73" t="s">
        <v>765</v>
      </c>
      <c r="B13" s="1774">
        <f>+SUMIF('BAL N'!J:J,"=467",'BAL N'!H:H)+SUMIF('BAL N'!J:J,"=463",'BAL N'!H:H)</f>
        <v>0</v>
      </c>
      <c r="C13" s="1774">
        <f>+SUMIF('BAL N'!J:J,"=463",'BAL N'!D:D)+SUMIF('BAL N'!J:J,"=467",'BAL N'!D:D)</f>
        <v>0</v>
      </c>
      <c r="D13" s="1775"/>
      <c r="E13" s="177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79" t="s">
        <v>766</v>
      </c>
      <c r="B14" s="1780">
        <f>SUM(B8:B13)</f>
        <v>7874167</v>
      </c>
      <c r="C14" s="1780">
        <f>SUM(C8:C13)</f>
        <v>30374167</v>
      </c>
      <c r="D14" s="1781"/>
      <c r="E14" s="178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73" t="s">
        <v>767</v>
      </c>
      <c r="B15" s="1774">
        <f>+SUMIF('BAL N'!K:K,"=4712",'BAL N'!H:H)</f>
        <v>0</v>
      </c>
      <c r="C15" s="1774">
        <f>+SUMIF('BAL N'!K:K,"=4712",'BAL N'!D:D)</f>
        <v>0</v>
      </c>
      <c r="D15" s="1775"/>
      <c r="E15" s="1776">
        <f t="shared" si="0"/>
        <v>0</v>
      </c>
      <c r="F15" s="663"/>
      <c r="G15" s="663"/>
      <c r="H15" s="925"/>
    </row>
    <row r="16" spans="1:8" s="602" customFormat="1" ht="48" customHeight="1" x14ac:dyDescent="0.35">
      <c r="A16" s="1773" t="s">
        <v>768</v>
      </c>
      <c r="B16" s="1774">
        <f>+SUMIF('BAL N'!K:K,"=4713",'BAL N'!H:H)</f>
        <v>0</v>
      </c>
      <c r="C16" s="1774">
        <f>+SUMIF('BAL N'!K:K,"=4713",'BAL N'!D:D)</f>
        <v>0</v>
      </c>
      <c r="D16" s="1775"/>
      <c r="E16" s="1776">
        <f t="shared" si="0"/>
        <v>0</v>
      </c>
      <c r="F16" s="663"/>
      <c r="G16" s="663"/>
      <c r="H16" s="925"/>
    </row>
    <row r="17" spans="1:8" s="602" customFormat="1" ht="48" customHeight="1" x14ac:dyDescent="0.35">
      <c r="A17" s="1773" t="s">
        <v>769</v>
      </c>
      <c r="B17" s="1774">
        <f>+SUMIF('BAL N'!K:K,"=4715",'BAL N'!H:H)</f>
        <v>0</v>
      </c>
      <c r="C17" s="1774">
        <f>+SUMIF('BAL N'!K:K,"=4715",'BAL N'!D:D)</f>
        <v>0</v>
      </c>
      <c r="D17" s="1775"/>
      <c r="E17" s="1776">
        <f t="shared" si="0"/>
        <v>0</v>
      </c>
      <c r="F17" s="663"/>
      <c r="G17" s="663"/>
      <c r="H17" s="925"/>
    </row>
    <row r="18" spans="1:8" s="602" customFormat="1" ht="48" customHeight="1" x14ac:dyDescent="0.35">
      <c r="A18" s="1773" t="s">
        <v>770</v>
      </c>
      <c r="B18" s="1774">
        <f>+SUMIF('BAL N'!K:K,"=4716",'BAL N'!H:H)</f>
        <v>0</v>
      </c>
      <c r="C18" s="1774">
        <f>+SUMIF('BAL N'!K:K,"=4716",'BAL N'!D:D)</f>
        <v>0</v>
      </c>
      <c r="D18" s="1775"/>
      <c r="E18" s="177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73" t="s">
        <v>771</v>
      </c>
      <c r="B19" s="1774">
        <f>+SUMIF('BAL N'!J:J,"=472",'BAL N'!H:H)</f>
        <v>0</v>
      </c>
      <c r="C19" s="1774">
        <f>+SUMIF('BAL N'!J:J,"=472",'BAL N'!D:D)</f>
        <v>0</v>
      </c>
      <c r="D19" s="1775"/>
      <c r="E19" s="177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73" t="s">
        <v>561</v>
      </c>
      <c r="B20" s="1774">
        <f>+SUMIF('BAL N'!J:J,"=475",'BAL N'!H:H)</f>
        <v>0</v>
      </c>
      <c r="C20" s="1774">
        <f>+SUMIF('BAL N'!J:J,"=475",'BAL N'!D:D)</f>
        <v>0</v>
      </c>
      <c r="D20" s="1775"/>
      <c r="E20" s="1776">
        <f t="shared" si="0"/>
        <v>0</v>
      </c>
      <c r="F20" s="676"/>
      <c r="G20" s="676"/>
      <c r="H20" s="788"/>
    </row>
    <row r="21" spans="1:8" s="602" customFormat="1" ht="48" customHeight="1" x14ac:dyDescent="0.35">
      <c r="A21" s="1783" t="s">
        <v>1282</v>
      </c>
      <c r="B21" s="1774">
        <f>+SUMIF('BAL N'!J:J,"=477",'BAL N'!H:H)+SUMIF('BAL N'!J:J,"=479",'BAL N'!H:H)</f>
        <v>0</v>
      </c>
      <c r="C21" s="1774">
        <f>+SUMIF('BAL N'!J:J,"=477",'BAL N'!D:D)+SUMIF('BAL N'!J:J,"=479",'BAL N'!D:D)</f>
        <v>0</v>
      </c>
      <c r="D21" s="1775"/>
      <c r="E21" s="1776">
        <f t="shared" si="0"/>
        <v>0</v>
      </c>
      <c r="F21" s="663"/>
      <c r="G21" s="663"/>
      <c r="H21" s="925"/>
    </row>
    <row r="22" spans="1:8" s="596" customFormat="1" ht="48" customHeight="1" x14ac:dyDescent="0.3">
      <c r="A22" s="1779" t="s">
        <v>772</v>
      </c>
      <c r="B22" s="1784">
        <f>SUM(B15:B21)</f>
        <v>0</v>
      </c>
      <c r="C22" s="1784">
        <f>SUM(C15:C21)</f>
        <v>0</v>
      </c>
      <c r="D22" s="1785"/>
      <c r="E22" s="178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73" t="s">
        <v>563</v>
      </c>
      <c r="B23" s="1774"/>
      <c r="C23" s="1774"/>
      <c r="D23" s="1775"/>
      <c r="E23" s="177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73" t="s">
        <v>564</v>
      </c>
      <c r="B24" s="1774"/>
      <c r="C24" s="1774"/>
      <c r="D24" s="1775"/>
      <c r="E24" s="177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73" t="s">
        <v>565</v>
      </c>
      <c r="B25" s="1774"/>
      <c r="C25" s="1774"/>
      <c r="D25" s="1775"/>
      <c r="E25" s="177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79" t="s">
        <v>773</v>
      </c>
      <c r="B26" s="1784"/>
      <c r="C26" s="1784"/>
      <c r="D26" s="1785"/>
      <c r="E26" s="178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86" t="s">
        <v>774</v>
      </c>
      <c r="B27" s="1787"/>
      <c r="C27" s="1787"/>
      <c r="D27" s="1788"/>
      <c r="E27" s="178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790" t="s">
        <v>775</v>
      </c>
      <c r="B28" s="1791">
        <f>+SUMIF('BAL N'!I:I,"=49",'BAL N'!H:H)</f>
        <v>0</v>
      </c>
      <c r="C28" s="179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792"/>
      <c r="D7" s="179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79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794">
        <f>IFERROR(YEAR('Fiche de renseignement R1'!V10),"Annee N")</f>
        <v>2025</v>
      </c>
      <c r="C6" s="179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796"/>
      <c r="C7" s="179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79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02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88" t="s">
        <v>880</v>
      </c>
      <c r="B1" s="2089"/>
      <c r="C1" s="2089"/>
      <c r="D1" s="2089"/>
      <c r="E1" s="2089"/>
      <c r="F1" s="2089"/>
      <c r="G1" s="2089"/>
      <c r="H1" s="2089"/>
      <c r="I1" s="2090"/>
    </row>
    <row r="2" spans="1:9" s="583" customFormat="1" ht="8.1" customHeight="1" x14ac:dyDescent="0.4">
      <c r="A2" s="2091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42" t="s">
        <v>416</v>
      </c>
      <c r="B3" s="2063" t="str">
        <f>'Fiche de renseignement R1'!$J$4</f>
        <v>AFRICACOLD SARL</v>
      </c>
      <c r="C3" s="2063"/>
      <c r="D3" s="2063"/>
      <c r="E3" s="710"/>
      <c r="F3" s="1479" t="s">
        <v>417</v>
      </c>
      <c r="G3" s="1479"/>
      <c r="H3" s="1747">
        <f>+'Note 1'!F3</f>
        <v>46022</v>
      </c>
      <c r="I3" s="1748"/>
    </row>
    <row r="4" spans="1:9" s="583" customFormat="1" ht="15" customHeight="1" x14ac:dyDescent="0.25">
      <c r="A4" s="2043" t="s">
        <v>419</v>
      </c>
      <c r="B4" s="2063" t="str">
        <f>+'Note 1'!B4</f>
        <v>04395621 2E2</v>
      </c>
      <c r="C4" s="2063"/>
      <c r="D4" s="2063"/>
      <c r="E4" s="710"/>
      <c r="F4" s="1479" t="s">
        <v>418</v>
      </c>
      <c r="G4" s="1479"/>
      <c r="H4" s="1699">
        <f>+'Note 1'!F4</f>
        <v>12</v>
      </c>
      <c r="I4" s="1748"/>
    </row>
    <row r="5" spans="1:9" s="583" customFormat="1" ht="28.8" customHeight="1" x14ac:dyDescent="0.25">
      <c r="A5" s="2043"/>
      <c r="B5" s="2063"/>
      <c r="C5" s="2063"/>
      <c r="D5" s="2063"/>
      <c r="E5" s="710"/>
      <c r="F5" s="1479"/>
      <c r="G5" s="1479"/>
      <c r="H5" s="1699"/>
      <c r="I5" s="1748"/>
    </row>
    <row r="6" spans="1:9" ht="9" customHeight="1" thickBot="1" x14ac:dyDescent="0.3">
      <c r="A6" s="2092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798" t="s">
        <v>463</v>
      </c>
      <c r="B7" s="1799" t="s">
        <v>108</v>
      </c>
      <c r="C7" s="1800" t="s">
        <v>378</v>
      </c>
      <c r="D7" s="1801"/>
      <c r="E7" s="1802"/>
      <c r="F7" s="1800" t="s">
        <v>391</v>
      </c>
      <c r="G7" s="1801"/>
      <c r="H7" s="1802"/>
      <c r="I7" s="1803" t="s">
        <v>881</v>
      </c>
    </row>
    <row r="8" spans="1:9" ht="34.799999999999997" customHeight="1" x14ac:dyDescent="0.25">
      <c r="A8" s="2093"/>
      <c r="B8" s="1804" t="s">
        <v>882</v>
      </c>
      <c r="C8" s="1805" t="s">
        <v>883</v>
      </c>
      <c r="D8" s="1806"/>
      <c r="E8" s="1807"/>
      <c r="F8" s="1805" t="s">
        <v>884</v>
      </c>
      <c r="G8" s="1806"/>
      <c r="H8" s="1807"/>
      <c r="I8" s="1808" t="s">
        <v>885</v>
      </c>
    </row>
    <row r="9" spans="1:9" ht="73.8" customHeight="1" x14ac:dyDescent="0.25">
      <c r="A9" s="2094" t="s">
        <v>886</v>
      </c>
      <c r="B9" s="180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9" t="s">
        <v>889</v>
      </c>
      <c r="I9" s="1808"/>
    </row>
    <row r="10" spans="1:9" s="841" customFormat="1" ht="72" customHeight="1" x14ac:dyDescent="0.25">
      <c r="A10" s="2095" t="s">
        <v>890</v>
      </c>
      <c r="B10" s="1810"/>
      <c r="C10" s="1811"/>
      <c r="D10" s="1812"/>
      <c r="E10" s="1810"/>
      <c r="F10" s="1811"/>
      <c r="G10" s="1812"/>
      <c r="H10" s="1810"/>
      <c r="I10" s="1813"/>
    </row>
    <row r="11" spans="1:9" s="841" customFormat="1" ht="72" customHeight="1" x14ac:dyDescent="0.25">
      <c r="A11" s="2095" t="s">
        <v>891</v>
      </c>
      <c r="B11" s="1810"/>
      <c r="C11" s="1811"/>
      <c r="D11" s="1812"/>
      <c r="E11" s="1810"/>
      <c r="F11" s="1811"/>
      <c r="G11" s="1812"/>
      <c r="H11" s="1810"/>
      <c r="I11" s="1813"/>
    </row>
    <row r="12" spans="1:9" s="841" customFormat="1" ht="72" customHeight="1" x14ac:dyDescent="0.25">
      <c r="A12" s="2095" t="s">
        <v>892</v>
      </c>
      <c r="B12" s="1810"/>
      <c r="C12" s="1811"/>
      <c r="D12" s="1812"/>
      <c r="E12" s="1810"/>
      <c r="F12" s="1811"/>
      <c r="G12" s="1812"/>
      <c r="H12" s="1810"/>
      <c r="I12" s="1813"/>
    </row>
    <row r="13" spans="1:9" s="841" customFormat="1" ht="63" customHeight="1" x14ac:dyDescent="0.25">
      <c r="A13" s="2096" t="s">
        <v>893</v>
      </c>
      <c r="B13" s="1814">
        <f>SUM(B10:B12)</f>
        <v>0</v>
      </c>
      <c r="C13" s="1815">
        <f t="shared" ref="C13:I13" si="0">SUM(C10:C12)</f>
        <v>0</v>
      </c>
      <c r="D13" s="1816">
        <f t="shared" si="0"/>
        <v>0</v>
      </c>
      <c r="E13" s="1814">
        <f t="shared" si="0"/>
        <v>0</v>
      </c>
      <c r="F13" s="1815">
        <f t="shared" si="0"/>
        <v>0</v>
      </c>
      <c r="G13" s="1816">
        <f t="shared" si="0"/>
        <v>0</v>
      </c>
      <c r="H13" s="1814">
        <f t="shared" si="0"/>
        <v>0</v>
      </c>
      <c r="I13" s="1817">
        <f t="shared" si="0"/>
        <v>0</v>
      </c>
    </row>
    <row r="14" spans="1:9" s="841" customFormat="1" ht="93.6" customHeight="1" x14ac:dyDescent="0.25">
      <c r="A14" s="2095" t="s">
        <v>894</v>
      </c>
      <c r="B14" s="1810"/>
      <c r="C14" s="1811"/>
      <c r="D14" s="1812"/>
      <c r="E14" s="1810"/>
      <c r="F14" s="1811"/>
      <c r="G14" s="1812"/>
      <c r="H14" s="1810"/>
      <c r="I14" s="1813"/>
    </row>
    <row r="15" spans="1:9" s="841" customFormat="1" ht="93.6" customHeight="1" x14ac:dyDescent="0.25">
      <c r="A15" s="2095" t="s">
        <v>895</v>
      </c>
      <c r="B15" s="1810"/>
      <c r="C15" s="1811"/>
      <c r="D15" s="1812"/>
      <c r="E15" s="1810"/>
      <c r="F15" s="1811"/>
      <c r="G15" s="1812"/>
      <c r="H15" s="1810"/>
      <c r="I15" s="1813"/>
    </row>
    <row r="16" spans="1:9" s="841" customFormat="1" ht="93.6" customHeight="1" x14ac:dyDescent="0.25">
      <c r="A16" s="2095" t="s">
        <v>896</v>
      </c>
      <c r="B16" s="1810"/>
      <c r="C16" s="1811"/>
      <c r="D16" s="1812"/>
      <c r="E16" s="1810"/>
      <c r="F16" s="1811"/>
      <c r="G16" s="1812"/>
      <c r="H16" s="1810"/>
      <c r="I16" s="1813"/>
    </row>
    <row r="17" spans="1:9" s="841" customFormat="1" ht="88.8" customHeight="1" x14ac:dyDescent="0.25">
      <c r="A17" s="2095" t="s">
        <v>897</v>
      </c>
      <c r="B17" s="1810"/>
      <c r="C17" s="1811"/>
      <c r="D17" s="1812"/>
      <c r="E17" s="1810"/>
      <c r="F17" s="1811"/>
      <c r="G17" s="1812"/>
      <c r="H17" s="1810"/>
      <c r="I17" s="1813"/>
    </row>
    <row r="18" spans="1:9" s="841" customFormat="1" ht="88.8" customHeight="1" x14ac:dyDescent="0.25">
      <c r="A18" s="2095" t="s">
        <v>1259</v>
      </c>
      <c r="B18" s="1810"/>
      <c r="C18" s="1811"/>
      <c r="D18" s="1812"/>
      <c r="E18" s="1810"/>
      <c r="F18" s="1811"/>
      <c r="G18" s="1812"/>
      <c r="H18" s="1810"/>
      <c r="I18" s="1813"/>
    </row>
    <row r="19" spans="1:9" s="841" customFormat="1" ht="88.8" customHeight="1" x14ac:dyDescent="0.25">
      <c r="A19" s="2095" t="s">
        <v>1260</v>
      </c>
      <c r="B19" s="1810"/>
      <c r="C19" s="1811"/>
      <c r="D19" s="1812"/>
      <c r="E19" s="1810"/>
      <c r="F19" s="1811"/>
      <c r="G19" s="1812"/>
      <c r="H19" s="1810"/>
      <c r="I19" s="1813"/>
    </row>
    <row r="20" spans="1:9" s="841" customFormat="1" ht="81" customHeight="1" x14ac:dyDescent="0.25">
      <c r="A20" s="2095" t="s">
        <v>1261</v>
      </c>
      <c r="B20" s="1810"/>
      <c r="C20" s="1811"/>
      <c r="D20" s="1812"/>
      <c r="E20" s="1810"/>
      <c r="F20" s="1811"/>
      <c r="G20" s="1812"/>
      <c r="H20" s="1810"/>
      <c r="I20" s="1813"/>
    </row>
    <row r="21" spans="1:9" s="841" customFormat="1" ht="81" customHeight="1" x14ac:dyDescent="0.25">
      <c r="A21" s="2095" t="s">
        <v>1262</v>
      </c>
      <c r="B21" s="1810"/>
      <c r="C21" s="1811"/>
      <c r="D21" s="1812"/>
      <c r="E21" s="1810"/>
      <c r="F21" s="1811"/>
      <c r="G21" s="1812"/>
      <c r="H21" s="1810"/>
      <c r="I21" s="1813"/>
    </row>
    <row r="22" spans="1:9" s="841" customFormat="1" ht="109.2" customHeight="1" x14ac:dyDescent="0.25">
      <c r="A22" s="2095" t="s">
        <v>1263</v>
      </c>
      <c r="B22" s="1810"/>
      <c r="C22" s="1811"/>
      <c r="D22" s="1812"/>
      <c r="E22" s="1810"/>
      <c r="F22" s="1811"/>
      <c r="G22" s="1812"/>
      <c r="H22" s="1810"/>
      <c r="I22" s="1813"/>
    </row>
    <row r="23" spans="1:9" s="841" customFormat="1" ht="109.2" customHeight="1" x14ac:dyDescent="0.25">
      <c r="A23" s="2095" t="s">
        <v>1264</v>
      </c>
      <c r="B23" s="1810"/>
      <c r="C23" s="1811"/>
      <c r="D23" s="1812"/>
      <c r="E23" s="1810"/>
      <c r="F23" s="1811"/>
      <c r="G23" s="1812"/>
      <c r="H23" s="1810"/>
      <c r="I23" s="1813"/>
    </row>
    <row r="24" spans="1:9" s="841" customFormat="1" ht="114" customHeight="1" x14ac:dyDescent="0.25">
      <c r="A24" s="2097" t="s">
        <v>898</v>
      </c>
      <c r="B24" s="1814">
        <f>SUM(B14:B23)</f>
        <v>0</v>
      </c>
      <c r="C24" s="1815">
        <f t="shared" ref="C24:I24" si="1">SUM(C14:C23)</f>
        <v>0</v>
      </c>
      <c r="D24" s="1816">
        <f t="shared" si="1"/>
        <v>0</v>
      </c>
      <c r="E24" s="1814">
        <f t="shared" si="1"/>
        <v>0</v>
      </c>
      <c r="F24" s="1815">
        <f t="shared" si="1"/>
        <v>0</v>
      </c>
      <c r="G24" s="1816">
        <f t="shared" si="1"/>
        <v>0</v>
      </c>
      <c r="H24" s="1814">
        <f t="shared" si="1"/>
        <v>0</v>
      </c>
      <c r="I24" s="1817">
        <f t="shared" si="1"/>
        <v>0</v>
      </c>
    </row>
    <row r="25" spans="1:9" s="842" customFormat="1" ht="67.8" customHeight="1" thickBot="1" x14ac:dyDescent="0.3">
      <c r="A25" s="2098" t="s">
        <v>899</v>
      </c>
      <c r="B25" s="1818">
        <f>+B13+B24</f>
        <v>0</v>
      </c>
      <c r="C25" s="1819">
        <f>+C13+C24</f>
        <v>0</v>
      </c>
      <c r="D25" s="1820">
        <f>+D13+D24</f>
        <v>0</v>
      </c>
      <c r="E25" s="1818">
        <f>+E13+E24</f>
        <v>0</v>
      </c>
      <c r="F25" s="1819">
        <f>+F13+F24</f>
        <v>0</v>
      </c>
      <c r="G25" s="1820">
        <f>+G13+G24</f>
        <v>0</v>
      </c>
      <c r="H25" s="1818">
        <f>+H13+H24</f>
        <v>0</v>
      </c>
      <c r="I25" s="1821">
        <f>+I13+I24</f>
        <v>0</v>
      </c>
    </row>
    <row r="26" spans="1:9" s="844" customFormat="1" ht="4.8" customHeight="1" x14ac:dyDescent="0.25">
      <c r="A26" s="2099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00"/>
    </row>
    <row r="28" spans="1:9" x14ac:dyDescent="0.25">
      <c r="A28" s="210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9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67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64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64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65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6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67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64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64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65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44" t="str">
        <f>'Fiche de renseignement R1'!$J$4</f>
        <v>AFRICACOLD SARL</v>
      </c>
      <c r="C3" s="1744"/>
      <c r="D3" s="616"/>
      <c r="E3" s="955" t="s">
        <v>417</v>
      </c>
      <c r="F3" s="1740">
        <f>+'Note 1'!F3</f>
        <v>46022</v>
      </c>
    </row>
    <row r="4" spans="1:6" s="583" customFormat="1" ht="29.4" customHeight="1" x14ac:dyDescent="0.25">
      <c r="A4" s="611" t="s">
        <v>419</v>
      </c>
      <c r="B4" s="1744" t="str">
        <f>+'Note 1'!B4</f>
        <v>04395621 2E2</v>
      </c>
      <c r="C4" s="174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22" t="s">
        <v>1763</v>
      </c>
      <c r="B6" s="2070">
        <f>IFERROR(YEAR('Fiche de renseignement R1'!V10),"N")</f>
        <v>2025</v>
      </c>
      <c r="C6" s="2070">
        <f>IFERROR(YEAR('Fiche de renseignement R1'!V10)-1,"N-1")</f>
        <v>2024</v>
      </c>
      <c r="D6" s="2070">
        <f>IFERROR(YEAR('Fiche de renseignement R1'!V10)-2,"N-2")</f>
        <v>2023</v>
      </c>
      <c r="E6" s="2070">
        <f>IFERROR(YEAR('Fiche de renseignement R1'!V10)-3,"N-3")</f>
        <v>2022</v>
      </c>
      <c r="F6" s="2071">
        <f>IFERROR(YEAR('Fiche de renseignement R1'!V10)-4,"N-4")</f>
        <v>2021</v>
      </c>
    </row>
    <row r="7" spans="1:6" ht="24.6" customHeight="1" x14ac:dyDescent="0.25">
      <c r="A7" s="1823"/>
      <c r="B7" s="2072"/>
      <c r="C7" s="2072"/>
      <c r="D7" s="2072"/>
      <c r="E7" s="2072"/>
      <c r="F7" s="2073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2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76" t="s">
        <v>955</v>
      </c>
      <c r="C6" s="2074" t="s">
        <v>956</v>
      </c>
      <c r="D6" s="2075"/>
      <c r="E6" s="2074" t="s">
        <v>957</v>
      </c>
      <c r="F6" s="2075"/>
      <c r="G6" s="2074" t="s">
        <v>958</v>
      </c>
      <c r="H6" s="2075"/>
      <c r="I6" s="1826" t="s">
        <v>959</v>
      </c>
      <c r="J6" s="1827"/>
      <c r="K6" s="1826" t="s">
        <v>960</v>
      </c>
      <c r="L6" s="1827"/>
      <c r="M6" s="1826" t="s">
        <v>961</v>
      </c>
      <c r="N6" s="1827"/>
    </row>
    <row r="7" spans="1:14" s="1825" customFormat="1" ht="24" customHeight="1" x14ac:dyDescent="0.25">
      <c r="A7" s="1418"/>
      <c r="B7" s="2077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2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2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3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3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3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499" t="s">
        <v>416</v>
      </c>
      <c r="B3" s="1475" t="str">
        <f>'Fiche de renseignement R1'!$J$4</f>
        <v>AFRICACOLD SARL</v>
      </c>
      <c r="C3" s="1833" t="s">
        <v>417</v>
      </c>
      <c r="D3" s="1741">
        <f>+'Fiche de renseignement R1'!$V$10</f>
        <v>46022</v>
      </c>
    </row>
    <row r="4" spans="1:6" s="602" customFormat="1" ht="30" customHeight="1" x14ac:dyDescent="0.35">
      <c r="A4" s="1499" t="s">
        <v>419</v>
      </c>
      <c r="B4" s="1834" t="str">
        <f>+'Note 1'!B4</f>
        <v>04395621 2E2</v>
      </c>
      <c r="C4" s="1833" t="s">
        <v>418</v>
      </c>
      <c r="D4" s="1835" t="e">
        <f>+'Note 1'!#REF!</f>
        <v>#REF!</v>
      </c>
      <c r="F4" s="183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37" t="s">
        <v>1293</v>
      </c>
      <c r="B6" s="1838">
        <f>IFERROR(YEAR('Fiche de renseignement R1'!V10),"Annee N")</f>
        <v>2025</v>
      </c>
      <c r="C6" s="1839">
        <f>IFERROR(YEAR('Fiche de renseignement R1'!Q20),"Annee N-1")</f>
        <v>2024</v>
      </c>
      <c r="D6" s="1840" t="s">
        <v>532</v>
      </c>
    </row>
    <row r="7" spans="1:6" ht="31.2" customHeight="1" x14ac:dyDescent="0.25">
      <c r="A7" s="1841" t="s">
        <v>975</v>
      </c>
      <c r="B7" s="1842"/>
      <c r="C7" s="1842"/>
      <c r="D7" s="1843"/>
    </row>
    <row r="8" spans="1:6" ht="33.6" customHeight="1" x14ac:dyDescent="0.25">
      <c r="A8" s="184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4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4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4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4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47" t="s">
        <v>1003</v>
      </c>
      <c r="B36" s="1848"/>
      <c r="C36" s="1848"/>
      <c r="D36" s="184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47" t="s">
        <v>1004</v>
      </c>
      <c r="B39" s="1848"/>
      <c r="C39" s="1848"/>
      <c r="D39" s="184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4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5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53" t="s">
        <v>1019</v>
      </c>
      <c r="B54" s="1854"/>
      <c r="C54" s="1854"/>
      <c r="D54" s="1855"/>
    </row>
    <row r="55" spans="1:4" ht="34.200000000000003" customHeight="1" x14ac:dyDescent="0.25">
      <c r="A55" s="1851" t="s">
        <v>1020</v>
      </c>
      <c r="B55" s="951"/>
      <c r="C55" s="951"/>
      <c r="D55" s="884"/>
    </row>
    <row r="56" spans="1:4" ht="34.200000000000003" customHeight="1" x14ac:dyDescent="0.25">
      <c r="A56" s="185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5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5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53" t="s">
        <v>1024</v>
      </c>
      <c r="B59" s="1854"/>
      <c r="C59" s="1854"/>
      <c r="D59" s="185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57" t="s">
        <v>1026</v>
      </c>
      <c r="B62" s="1858">
        <f>+B60-B61</f>
        <v>371652937</v>
      </c>
      <c r="C62" s="185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79" customWidth="1"/>
    <col min="2" max="2" width="16.88671875" style="1879" customWidth="1"/>
    <col min="3" max="3" width="10.6640625" style="1879"/>
    <col min="4" max="4" width="17" style="1879" customWidth="1"/>
    <col min="5" max="16384" width="10.6640625" style="1879"/>
  </cols>
  <sheetData>
    <row r="1" spans="1:6" ht="54" customHeight="1" x14ac:dyDescent="0.25">
      <c r="A1" s="1876" t="s">
        <v>1030</v>
      </c>
      <c r="B1" s="1877"/>
      <c r="C1" s="1877"/>
      <c r="D1" s="1878"/>
    </row>
    <row r="2" spans="1:6" x14ac:dyDescent="0.25">
      <c r="A2" s="1880"/>
      <c r="B2" s="1881"/>
      <c r="C2" s="1881"/>
      <c r="D2" s="1882"/>
    </row>
    <row r="3" spans="1:6" s="583" customFormat="1" ht="21" customHeight="1" x14ac:dyDescent="0.25">
      <c r="A3" s="1523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8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23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84" t="str">
        <f>+'Note 1'!B4</f>
        <v>04395621 2E2</v>
      </c>
      <c r="B6" s="1885"/>
      <c r="C6" s="1169"/>
      <c r="D6" s="1392"/>
      <c r="E6" s="1886"/>
      <c r="F6" s="1886"/>
    </row>
    <row r="7" spans="1:6" x14ac:dyDescent="0.25">
      <c r="A7" s="779"/>
      <c r="B7" s="1881"/>
      <c r="C7" s="1881"/>
      <c r="D7" s="1882"/>
    </row>
    <row r="8" spans="1:6" ht="20.399999999999999" customHeight="1" x14ac:dyDescent="0.25">
      <c r="A8" s="1875" t="s">
        <v>1031</v>
      </c>
      <c r="B8" s="1881"/>
      <c r="C8" s="1881"/>
      <c r="D8" s="1882"/>
    </row>
    <row r="9" spans="1:6" s="1874" customFormat="1" ht="27" customHeight="1" x14ac:dyDescent="0.25">
      <c r="A9" s="1871" t="s">
        <v>1032</v>
      </c>
      <c r="B9" s="1872"/>
      <c r="C9" s="1872"/>
      <c r="D9" s="1873"/>
    </row>
    <row r="10" spans="1:6" s="1874" customFormat="1" ht="19.2" customHeight="1" x14ac:dyDescent="0.25">
      <c r="A10" s="1868" t="s">
        <v>1033</v>
      </c>
      <c r="B10" s="1869"/>
      <c r="C10" s="1869"/>
      <c r="D10" s="1870"/>
    </row>
    <row r="11" spans="1:6" ht="66" customHeight="1" x14ac:dyDescent="0.25">
      <c r="A11" s="1859" t="s">
        <v>1764</v>
      </c>
      <c r="B11" s="1860"/>
      <c r="C11" s="1860"/>
      <c r="D11" s="1861"/>
    </row>
    <row r="12" spans="1:6" ht="57.6" customHeight="1" x14ac:dyDescent="0.25">
      <c r="A12" s="1859" t="s">
        <v>1765</v>
      </c>
      <c r="B12" s="1860"/>
      <c r="C12" s="1860"/>
      <c r="D12" s="1861"/>
    </row>
    <row r="13" spans="1:6" ht="66.599999999999994" customHeight="1" x14ac:dyDescent="0.25">
      <c r="A13" s="1859" t="s">
        <v>1766</v>
      </c>
      <c r="B13" s="1860"/>
      <c r="C13" s="1860"/>
      <c r="D13" s="1861"/>
    </row>
    <row r="14" spans="1:6" ht="55.2" customHeight="1" x14ac:dyDescent="0.25">
      <c r="A14" s="1859" t="s">
        <v>1767</v>
      </c>
      <c r="B14" s="1860"/>
      <c r="C14" s="1860"/>
      <c r="D14" s="1861"/>
    </row>
    <row r="15" spans="1:6" ht="53.4" customHeight="1" x14ac:dyDescent="0.25">
      <c r="A15" s="1859" t="s">
        <v>1768</v>
      </c>
      <c r="B15" s="1860"/>
      <c r="C15" s="1860"/>
      <c r="D15" s="1861"/>
    </row>
    <row r="16" spans="1:6" s="1887" customFormat="1" ht="19.8" customHeight="1" x14ac:dyDescent="0.25">
      <c r="A16" s="1868" t="s">
        <v>1034</v>
      </c>
      <c r="B16" s="1869"/>
      <c r="C16" s="1869"/>
      <c r="D16" s="1870"/>
    </row>
    <row r="17" spans="1:4" ht="103.95" customHeight="1" x14ac:dyDescent="0.25">
      <c r="A17" s="1859" t="s">
        <v>1769</v>
      </c>
      <c r="B17" s="1860"/>
      <c r="C17" s="1860"/>
      <c r="D17" s="1861"/>
    </row>
    <row r="18" spans="1:4" ht="82.95" customHeight="1" x14ac:dyDescent="0.25">
      <c r="A18" s="1859" t="s">
        <v>1770</v>
      </c>
      <c r="B18" s="1860"/>
      <c r="C18" s="1860"/>
      <c r="D18" s="1861"/>
    </row>
    <row r="19" spans="1:4" ht="78" customHeight="1" x14ac:dyDescent="0.25">
      <c r="A19" s="1859" t="s">
        <v>1771</v>
      </c>
      <c r="B19" s="1860"/>
      <c r="C19" s="1860"/>
      <c r="D19" s="1861"/>
    </row>
    <row r="20" spans="1:4" ht="40.950000000000003" customHeight="1" x14ac:dyDescent="0.25">
      <c r="A20" s="1859" t="s">
        <v>1772</v>
      </c>
      <c r="B20" s="1860"/>
      <c r="C20" s="1860"/>
      <c r="D20" s="1861"/>
    </row>
    <row r="21" spans="1:4" ht="40.950000000000003" customHeight="1" x14ac:dyDescent="0.25">
      <c r="A21" s="1859" t="s">
        <v>1773</v>
      </c>
      <c r="B21" s="1860"/>
      <c r="C21" s="1860"/>
      <c r="D21" s="1861"/>
    </row>
    <row r="22" spans="1:4" s="1887" customFormat="1" ht="26.4" customHeight="1" x14ac:dyDescent="0.25">
      <c r="A22" s="1865" t="s">
        <v>1035</v>
      </c>
      <c r="B22" s="1866"/>
      <c r="C22" s="1866"/>
      <c r="D22" s="1867"/>
    </row>
    <row r="23" spans="1:4" ht="59.4" customHeight="1" x14ac:dyDescent="0.25">
      <c r="A23" s="1859" t="s">
        <v>1774</v>
      </c>
      <c r="B23" s="1860"/>
      <c r="C23" s="1860"/>
      <c r="D23" s="1861"/>
    </row>
    <row r="24" spans="1:4" ht="67.2" customHeight="1" x14ac:dyDescent="0.25">
      <c r="A24" s="1859" t="s">
        <v>1775</v>
      </c>
      <c r="B24" s="1860"/>
      <c r="C24" s="1860"/>
      <c r="D24" s="1861"/>
    </row>
    <row r="25" spans="1:4" ht="42.6" customHeight="1" thickBot="1" x14ac:dyDescent="0.3">
      <c r="A25" s="1862" t="s">
        <v>1776</v>
      </c>
      <c r="B25" s="1863"/>
      <c r="C25" s="1863"/>
      <c r="D25" s="186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