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1" activeTab="6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<sst xmlns="http://schemas.openxmlformats.org/spreadsheetml/2006/main" count="4232" uniqueCount="1538">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</sst>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79986047745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8000094890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0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900003731251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73" Type="http://schemas.openxmlformats.org/officeDocument/2006/relationships/customXml" Target="../customXml/item3.xml" /><Relationship Id="rId72" Type="http://schemas.openxmlformats.org/officeDocument/2006/relationships/customXml" Target="../customXml/item2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74" Type="http://schemas.openxmlformats.org/officeDocument/2006/relationships/calcChain" Target="calcChain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71" Type="http://schemas.openxmlformats.org/officeDocument/2006/relationships/customXml" Target="../customXml/item1.xml" /><Relationship Id="rId70" Type="http://schemas.openxmlformats.org/officeDocument/2006/relationships/sharedStrings" Target="sharedStrings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worksheet" Target="worksheets/sheet60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worksheet" Target="worksheets/sheet62.xml" /><Relationship Id="rId63" Type="http://schemas.openxmlformats.org/officeDocument/2006/relationships/worksheet" Target="worksheets/sheet61.xml" /><Relationship Id="rId22" Type="http://schemas.openxmlformats.org/officeDocument/2006/relationships/worksheet" Target="worksheets/sheet20.xml" /><Relationship Id="rId66" Type="http://schemas.openxmlformats.org/officeDocument/2006/relationships/worksheet" Target="worksheets/sheet64.xml" /><Relationship Id="rId21" Type="http://schemas.openxmlformats.org/officeDocument/2006/relationships/worksheet" Target="worksheets/sheet19.xml" /><Relationship Id="rId65" Type="http://schemas.openxmlformats.org/officeDocument/2006/relationships/worksheet" Target="worksheets/sheet63.xml" /><Relationship Id="rId24" Type="http://schemas.openxmlformats.org/officeDocument/2006/relationships/worksheet" Target="worksheets/sheet22.xml" /><Relationship Id="rId68" Type="http://schemas.openxmlformats.org/officeDocument/2006/relationships/worksheet" Target="worksheets/sheet66.xml" /><Relationship Id="rId23" Type="http://schemas.openxmlformats.org/officeDocument/2006/relationships/worksheet" Target="worksheets/sheet21.xml" /><Relationship Id="rId67" Type="http://schemas.openxmlformats.org/officeDocument/2006/relationships/worksheet" Target="worksheets/sheet65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69" Type="http://schemas.openxmlformats.org/officeDocument/2006/relationships/worksheet" Target="worksheets/sheet67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/>
      <c r="B2" s="783"/>
      <c r="C2" s="784"/>
      <c r="D2" s="785"/>
      <c r="E2" s="784"/>
      <c r="F2" s="784"/>
      <c r="G2" s="784"/>
      <c r="H2" s="785"/>
      <c r="I2" s="805" t="str">
        <f>LEFT(A2,2)</f>
        <v/>
      </c>
      <c r="J2" s="782" t="str">
        <f>LEFT(A2,3)</f>
        <v/>
      </c>
      <c r="K2" s="782" t="str">
        <f>LEFT(A2,4)</f>
        <v/>
      </c>
      <c r="L2" s="782" t="str">
        <f>LEFT(A2,5)</f>
        <v/>
      </c>
      <c r="M2" s="782" t="str">
        <f>LEFT(A2,1)</f>
        <v/>
      </c>
    </row>
    <row r="3" spans="1:13" ht="26.4" customHeight="1">
      <c r="A3" s="783"/>
      <c r="B3" s="783"/>
      <c r="C3" s="784"/>
      <c r="D3" s="785"/>
      <c r="E3" s="784"/>
      <c r="F3" s="785"/>
      <c r="G3" s="784"/>
      <c r="H3" s="785"/>
      <c r="I3" s="806" t="str">
        <f t="shared" si="0" ref="I3:I66">LEFT(A3,2)</f>
        <v/>
      </c>
      <c r="J3" s="782" t="str">
        <f t="shared" si="1" ref="J3:J66">LEFT(A3,3)</f>
        <v/>
      </c>
      <c r="K3" s="782" t="str">
        <f t="shared" si="2" ref="K3:K66">LEFT(A3,4)</f>
        <v/>
      </c>
      <c r="L3" s="782" t="str">
        <f t="shared" si="3" ref="L3:L66">LEFT(A3,5)</f>
        <v/>
      </c>
      <c r="M3" s="782" t="str">
        <f t="shared" si="4" ref="M3:M66">LEFT(A3,1)</f>
        <v/>
      </c>
    </row>
    <row r="4" spans="1:13" ht="26.4" customHeight="1">
      <c r="A4" s="783"/>
      <c r="B4" s="783"/>
      <c r="C4" s="784"/>
      <c r="D4" s="785"/>
      <c r="E4" s="784"/>
      <c r="F4" s="785"/>
      <c r="G4" s="784"/>
      <c r="H4" s="785"/>
      <c r="I4" s="806" t="str">
        <f t="shared" si="0"/>
        <v/>
      </c>
      <c r="J4" s="782" t="str">
        <f t="shared" si="1"/>
        <v/>
      </c>
      <c r="K4" s="782" t="str">
        <f t="shared" si="2"/>
        <v/>
      </c>
      <c r="L4" s="782" t="str">
        <f t="shared" si="3"/>
        <v/>
      </c>
      <c r="M4" s="782" t="str">
        <f t="shared" si="4"/>
        <v/>
      </c>
    </row>
    <row r="5" spans="1:13" ht="26.4" customHeight="1">
      <c r="A5" s="783"/>
      <c r="B5" s="783"/>
      <c r="C5" s="784"/>
      <c r="D5" s="785"/>
      <c r="E5" s="785"/>
      <c r="F5" s="784"/>
      <c r="G5" s="784"/>
      <c r="H5" s="784"/>
      <c r="I5" s="806" t="str">
        <f t="shared" si="0"/>
        <v/>
      </c>
      <c r="J5" s="782" t="str">
        <f t="shared" si="1"/>
        <v/>
      </c>
      <c r="K5" s="782" t="str">
        <f t="shared" si="2"/>
        <v/>
      </c>
      <c r="L5" s="782" t="str">
        <f t="shared" si="3"/>
        <v/>
      </c>
      <c r="M5" s="782" t="str">
        <f t="shared" si="4"/>
        <v/>
      </c>
    </row>
    <row r="6" spans="1:13" s="787" customFormat="1" ht="26.4" customHeight="1">
      <c r="A6" s="783"/>
      <c r="B6" s="783"/>
      <c r="C6" s="784"/>
      <c r="D6" s="785"/>
      <c r="E6" s="785"/>
      <c r="F6" s="784"/>
      <c r="G6" s="784"/>
      <c r="H6" s="784"/>
      <c r="I6" s="806" t="str">
        <f t="shared" si="0"/>
        <v/>
      </c>
      <c r="J6" s="782" t="str">
        <f t="shared" si="1"/>
        <v/>
      </c>
      <c r="K6" s="782" t="str">
        <f t="shared" si="2"/>
        <v/>
      </c>
      <c r="L6" s="782" t="str">
        <f t="shared" si="3"/>
        <v/>
      </c>
      <c r="M6" s="782" t="str">
        <f t="shared" si="4"/>
        <v/>
      </c>
    </row>
    <row r="7" spans="1:13" ht="26.4" customHeight="1">
      <c r="A7" s="783"/>
      <c r="B7" s="783"/>
      <c r="C7" s="784"/>
      <c r="D7" s="785"/>
      <c r="E7" s="785"/>
      <c r="F7" s="784"/>
      <c r="G7" s="784"/>
      <c r="H7" s="784"/>
      <c r="I7" s="806" t="str">
        <f t="shared" si="0"/>
        <v/>
      </c>
      <c r="J7" s="782" t="str">
        <f t="shared" si="1"/>
        <v/>
      </c>
      <c r="K7" s="782" t="str">
        <f t="shared" si="2"/>
        <v/>
      </c>
      <c r="L7" s="782" t="str">
        <f t="shared" si="3"/>
        <v/>
      </c>
      <c r="M7" s="782" t="str">
        <f t="shared" si="4"/>
        <v/>
      </c>
    </row>
    <row r="8" spans="1:15" ht="26.4" customHeight="1">
      <c r="A8" s="783"/>
      <c r="B8" s="783"/>
      <c r="C8" s="784"/>
      <c r="D8" s="785"/>
      <c r="E8" s="785"/>
      <c r="F8" s="784"/>
      <c r="G8" s="784"/>
      <c r="H8" s="784"/>
      <c r="I8" s="806" t="str">
        <f t="shared" si="0"/>
        <v/>
      </c>
      <c r="J8" s="782" t="str">
        <f t="shared" si="1"/>
        <v/>
      </c>
      <c r="K8" s="782" t="str">
        <f t="shared" si="2"/>
        <v/>
      </c>
      <c r="L8" s="782" t="str">
        <f t="shared" si="3"/>
        <v/>
      </c>
      <c r="M8" s="782" t="str">
        <f t="shared" si="4"/>
        <v/>
      </c>
      <c r="O8" s="788"/>
    </row>
    <row r="9" spans="1:13" ht="26.4" customHeight="1">
      <c r="A9" s="783"/>
      <c r="B9" s="783"/>
      <c r="C9" s="784"/>
      <c r="D9" s="785"/>
      <c r="E9" s="785"/>
      <c r="F9" s="784"/>
      <c r="G9" s="784"/>
      <c r="H9" s="784"/>
      <c r="I9" s="806" t="str">
        <f t="shared" si="0"/>
        <v/>
      </c>
      <c r="J9" s="782" t="str">
        <f t="shared" si="1"/>
        <v/>
      </c>
      <c r="K9" s="782" t="str">
        <f t="shared" si="2"/>
        <v/>
      </c>
      <c r="L9" s="782" t="str">
        <f t="shared" si="3"/>
        <v/>
      </c>
      <c r="M9" s="782" t="str">
        <f t="shared" si="4"/>
        <v/>
      </c>
    </row>
    <row r="10" spans="1:13" s="787" customFormat="1" ht="26.4" customHeight="1">
      <c r="A10" s="783"/>
      <c r="B10" s="783"/>
      <c r="C10" s="785"/>
      <c r="D10" s="784"/>
      <c r="E10" s="785"/>
      <c r="F10" s="784"/>
      <c r="G10" s="785"/>
      <c r="H10" s="784"/>
      <c r="I10" s="806" t="str">
        <f t="shared" si="0"/>
        <v/>
      </c>
      <c r="J10" s="782" t="str">
        <f t="shared" si="1"/>
        <v/>
      </c>
      <c r="K10" s="782" t="str">
        <f t="shared" si="2"/>
        <v/>
      </c>
      <c r="L10" s="782" t="str">
        <f t="shared" si="3"/>
        <v/>
      </c>
      <c r="M10" s="782" t="str">
        <f t="shared" si="4"/>
        <v/>
      </c>
    </row>
    <row r="11" spans="1:13" ht="26.4" customHeight="1">
      <c r="A11" s="783"/>
      <c r="B11" s="783"/>
      <c r="C11" s="785"/>
      <c r="D11" s="784"/>
      <c r="E11" s="785"/>
      <c r="F11" s="784"/>
      <c r="G11" s="785"/>
      <c r="H11" s="784"/>
      <c r="I11" s="806" t="str">
        <f t="shared" si="0"/>
        <v/>
      </c>
      <c r="J11" s="782" t="str">
        <f t="shared" si="1"/>
        <v/>
      </c>
      <c r="K11" s="782" t="str">
        <f t="shared" si="2"/>
        <v/>
      </c>
      <c r="L11" s="782" t="str">
        <f t="shared" si="3"/>
        <v/>
      </c>
      <c r="M11" s="782" t="str">
        <f t="shared" si="4"/>
        <v/>
      </c>
    </row>
    <row r="12" spans="1:13" ht="26.4" customHeight="1">
      <c r="A12" s="783"/>
      <c r="B12" s="783"/>
      <c r="C12" s="785"/>
      <c r="D12" s="784"/>
      <c r="E12" s="784"/>
      <c r="F12" s="784"/>
      <c r="G12" s="785"/>
      <c r="H12" s="784"/>
      <c r="I12" s="806" t="str">
        <f t="shared" si="0"/>
        <v/>
      </c>
      <c r="J12" s="782" t="str">
        <f t="shared" si="1"/>
        <v/>
      </c>
      <c r="K12" s="782" t="str">
        <f t="shared" si="2"/>
        <v/>
      </c>
      <c r="L12" s="782" t="str">
        <f t="shared" si="3"/>
        <v/>
      </c>
      <c r="M12" s="782" t="str">
        <f t="shared" si="4"/>
        <v/>
      </c>
    </row>
    <row r="13" spans="1:13" ht="26.4" customHeight="1">
      <c r="A13" s="783"/>
      <c r="B13" s="783"/>
      <c r="C13" s="785"/>
      <c r="D13" s="784"/>
      <c r="E13" s="784"/>
      <c r="F13" s="784"/>
      <c r="G13" s="785"/>
      <c r="H13" s="784"/>
      <c r="I13" s="806" t="str">
        <f t="shared" si="0"/>
        <v/>
      </c>
      <c r="J13" s="782" t="str">
        <f t="shared" si="1"/>
        <v/>
      </c>
      <c r="K13" s="782" t="str">
        <f t="shared" si="2"/>
        <v/>
      </c>
      <c r="L13" s="782" t="str">
        <f t="shared" si="3"/>
        <v/>
      </c>
      <c r="M13" s="782" t="str">
        <f t="shared" si="4"/>
        <v/>
      </c>
    </row>
    <row r="14" spans="1:13" s="787" customFormat="1" ht="26.4" customHeight="1">
      <c r="A14" s="783"/>
      <c r="B14" s="783"/>
      <c r="C14" s="785"/>
      <c r="D14" s="784"/>
      <c r="E14" s="784"/>
      <c r="F14" s="784"/>
      <c r="G14" s="785"/>
      <c r="H14" s="784"/>
      <c r="I14" s="806" t="str">
        <f t="shared" si="0"/>
        <v/>
      </c>
      <c r="J14" s="782" t="str">
        <f t="shared" si="1"/>
        <v/>
      </c>
      <c r="K14" s="782" t="str">
        <f t="shared" si="2"/>
        <v/>
      </c>
      <c r="L14" s="782" t="str">
        <f t="shared" si="3"/>
        <v/>
      </c>
      <c r="M14" s="782" t="str">
        <f t="shared" si="4"/>
        <v/>
      </c>
    </row>
    <row r="15" spans="1:13" s="787" customFormat="1" ht="26.4" customHeight="1">
      <c r="A15" s="783"/>
      <c r="B15" s="783"/>
      <c r="C15" s="785"/>
      <c r="D15" s="784"/>
      <c r="E15" s="784"/>
      <c r="F15" s="784"/>
      <c r="G15" s="785"/>
      <c r="H15" s="784"/>
      <c r="I15" s="806" t="str">
        <f t="shared" si="0"/>
        <v/>
      </c>
      <c r="J15" s="782" t="str">
        <f t="shared" si="1"/>
        <v/>
      </c>
      <c r="K15" s="782" t="str">
        <f t="shared" si="2"/>
        <v/>
      </c>
      <c r="L15" s="782" t="str">
        <f t="shared" si="3"/>
        <v/>
      </c>
      <c r="M15" s="782" t="str">
        <f t="shared" si="4"/>
        <v/>
      </c>
    </row>
    <row r="16" spans="1:13" s="787" customFormat="1" ht="26.4" customHeight="1">
      <c r="A16" s="783"/>
      <c r="B16" s="783"/>
      <c r="C16" s="785"/>
      <c r="D16" s="784"/>
      <c r="E16" s="784"/>
      <c r="F16" s="784"/>
      <c r="G16" s="785"/>
      <c r="H16" s="784"/>
      <c r="I16" s="806" t="str">
        <f t="shared" si="0"/>
        <v/>
      </c>
      <c r="J16" s="782" t="str">
        <f t="shared" si="1"/>
        <v/>
      </c>
      <c r="K16" s="782" t="str">
        <f t="shared" si="2"/>
        <v/>
      </c>
      <c r="L16" s="782" t="str">
        <f t="shared" si="3"/>
        <v/>
      </c>
      <c r="M16" s="782" t="str">
        <f t="shared" si="4"/>
        <v/>
      </c>
    </row>
    <row r="17" spans="1:13" s="787" customFormat="1" ht="26.4" customHeight="1">
      <c r="A17" s="783"/>
      <c r="B17" s="783"/>
      <c r="C17" s="785"/>
      <c r="D17" s="784"/>
      <c r="E17" s="785"/>
      <c r="F17" s="784"/>
      <c r="G17" s="785"/>
      <c r="H17" s="784"/>
      <c r="I17" s="806" t="str">
        <f t="shared" si="0"/>
        <v/>
      </c>
      <c r="J17" s="782" t="str">
        <f t="shared" si="1"/>
        <v/>
      </c>
      <c r="K17" s="782" t="str">
        <f t="shared" si="2"/>
        <v/>
      </c>
      <c r="L17" s="782" t="str">
        <f t="shared" si="3"/>
        <v/>
      </c>
      <c r="M17" s="782" t="str">
        <f t="shared" si="4"/>
        <v/>
      </c>
    </row>
    <row r="18" spans="1:13" s="787" customFormat="1" ht="26.4" customHeight="1">
      <c r="A18" s="783"/>
      <c r="B18" s="783"/>
      <c r="C18" s="785"/>
      <c r="D18" s="784"/>
      <c r="E18" s="785"/>
      <c r="F18" s="784"/>
      <c r="G18" s="785"/>
      <c r="H18" s="784"/>
      <c r="I18" s="806" t="str">
        <f t="shared" si="0"/>
        <v/>
      </c>
      <c r="J18" s="782" t="str">
        <f t="shared" si="1"/>
        <v/>
      </c>
      <c r="K18" s="782" t="str">
        <f t="shared" si="2"/>
        <v/>
      </c>
      <c r="L18" s="782" t="str">
        <f t="shared" si="3"/>
        <v/>
      </c>
      <c r="M18" s="782" t="str">
        <f t="shared" si="4"/>
        <v/>
      </c>
    </row>
    <row r="19" spans="1:13" ht="26.4" customHeight="1">
      <c r="A19" s="783"/>
      <c r="B19" s="783"/>
      <c r="C19" s="785"/>
      <c r="D19" s="784"/>
      <c r="E19" s="785"/>
      <c r="F19" s="784"/>
      <c r="G19" s="785"/>
      <c r="H19" s="784"/>
      <c r="I19" s="806" t="str">
        <f t="shared" si="0"/>
        <v/>
      </c>
      <c r="J19" s="782" t="str">
        <f t="shared" si="1"/>
        <v/>
      </c>
      <c r="K19" s="782" t="str">
        <f t="shared" si="2"/>
        <v/>
      </c>
      <c r="L19" s="782" t="str">
        <f t="shared" si="3"/>
        <v/>
      </c>
      <c r="M19" s="782" t="str">
        <f t="shared" si="4"/>
        <v/>
      </c>
    </row>
    <row r="20" spans="1:13" ht="26.4" customHeight="1">
      <c r="A20" s="783"/>
      <c r="B20" s="783"/>
      <c r="C20" s="785"/>
      <c r="D20" s="784"/>
      <c r="E20" s="784"/>
      <c r="F20" s="784"/>
      <c r="G20" s="785"/>
      <c r="H20" s="784"/>
      <c r="I20" s="806" t="str">
        <f t="shared" si="0"/>
        <v/>
      </c>
      <c r="J20" s="782" t="str">
        <f t="shared" si="1"/>
        <v/>
      </c>
      <c r="K20" s="782" t="str">
        <f t="shared" si="2"/>
        <v/>
      </c>
      <c r="L20" s="782" t="str">
        <f t="shared" si="3"/>
        <v/>
      </c>
      <c r="M20" s="782" t="str">
        <f t="shared" si="4"/>
        <v/>
      </c>
    </row>
    <row r="21" spans="1:13" ht="26.4" customHeight="1">
      <c r="A21" s="783"/>
      <c r="B21" s="783"/>
      <c r="C21" s="784"/>
      <c r="D21" s="784"/>
      <c r="E21" s="785"/>
      <c r="F21" s="784"/>
      <c r="G21" s="785"/>
      <c r="H21" s="784"/>
      <c r="I21" s="806" t="str">
        <f t="shared" si="0"/>
        <v/>
      </c>
      <c r="J21" s="782" t="str">
        <f t="shared" si="1"/>
        <v/>
      </c>
      <c r="K21" s="782" t="str">
        <f t="shared" si="2"/>
        <v/>
      </c>
      <c r="L21" s="782" t="str">
        <f t="shared" si="3"/>
        <v/>
      </c>
      <c r="M21" s="782" t="str">
        <f t="shared" si="4"/>
        <v/>
      </c>
    </row>
    <row r="22" spans="1:13" ht="26.4" customHeight="1">
      <c r="A22" s="783"/>
      <c r="B22" s="783"/>
      <c r="C22" s="785"/>
      <c r="D22" s="784"/>
      <c r="E22" s="785"/>
      <c r="F22" s="784"/>
      <c r="G22" s="785"/>
      <c r="H22" s="784"/>
      <c r="I22" s="806" t="str">
        <f t="shared" si="0"/>
        <v/>
      </c>
      <c r="J22" s="782" t="str">
        <f t="shared" si="1"/>
        <v/>
      </c>
      <c r="K22" s="782" t="str">
        <f t="shared" si="2"/>
        <v/>
      </c>
      <c r="L22" s="782" t="str">
        <f t="shared" si="3"/>
        <v/>
      </c>
      <c r="M22" s="782" t="str">
        <f t="shared" si="4"/>
        <v/>
      </c>
    </row>
    <row r="23" spans="1:13" ht="26.4" customHeight="1">
      <c r="A23" s="783"/>
      <c r="B23" s="783"/>
      <c r="C23" s="785"/>
      <c r="D23" s="784"/>
      <c r="E23" s="784"/>
      <c r="F23" s="784"/>
      <c r="G23" s="785"/>
      <c r="H23" s="784"/>
      <c r="I23" s="806" t="str">
        <f t="shared" si="0"/>
        <v/>
      </c>
      <c r="J23" s="782" t="str">
        <f t="shared" si="1"/>
        <v/>
      </c>
      <c r="K23" s="782" t="str">
        <f t="shared" si="2"/>
        <v/>
      </c>
      <c r="L23" s="782" t="str">
        <f t="shared" si="3"/>
        <v/>
      </c>
      <c r="M23" s="782" t="str">
        <f t="shared" si="4"/>
        <v/>
      </c>
    </row>
    <row r="24" spans="1:13" ht="26.4" customHeight="1">
      <c r="A24" s="783"/>
      <c r="B24" s="783"/>
      <c r="C24" s="785"/>
      <c r="D24" s="784"/>
      <c r="E24" s="785"/>
      <c r="F24" s="784"/>
      <c r="G24" s="785"/>
      <c r="H24" s="784"/>
      <c r="I24" s="806" t="str">
        <f t="shared" si="0"/>
        <v/>
      </c>
      <c r="J24" s="782" t="str">
        <f t="shared" si="1"/>
        <v/>
      </c>
      <c r="K24" s="782" t="str">
        <f t="shared" si="2"/>
        <v/>
      </c>
      <c r="L24" s="782" t="str">
        <f t="shared" si="3"/>
        <v/>
      </c>
      <c r="M24" s="782" t="str">
        <f t="shared" si="4"/>
        <v/>
      </c>
    </row>
    <row r="25" spans="1:13" ht="26.4" customHeight="1">
      <c r="A25" s="783"/>
      <c r="B25" s="783"/>
      <c r="C25" s="784"/>
      <c r="D25" s="784"/>
      <c r="E25" s="785"/>
      <c r="F25" s="785"/>
      <c r="G25" s="785"/>
      <c r="H25" s="784"/>
      <c r="I25" s="806" t="str">
        <f t="shared" si="0"/>
        <v/>
      </c>
      <c r="J25" s="782" t="str">
        <f t="shared" si="1"/>
        <v/>
      </c>
      <c r="K25" s="782" t="str">
        <f t="shared" si="2"/>
        <v/>
      </c>
      <c r="L25" s="782" t="str">
        <f t="shared" si="3"/>
        <v/>
      </c>
      <c r="M25" s="782" t="str">
        <f t="shared" si="4"/>
        <v/>
      </c>
    </row>
    <row r="26" spans="1:13" ht="26.4" customHeight="1">
      <c r="A26" s="783"/>
      <c r="B26" s="783"/>
      <c r="C26" s="784"/>
      <c r="D26" s="784"/>
      <c r="E26" s="785"/>
      <c r="F26" s="784"/>
      <c r="G26" s="785"/>
      <c r="H26" s="784"/>
      <c r="I26" s="806" t="str">
        <f t="shared" si="0"/>
        <v/>
      </c>
      <c r="J26" s="782" t="str">
        <f t="shared" si="1"/>
        <v/>
      </c>
      <c r="K26" s="782" t="str">
        <f t="shared" si="2"/>
        <v/>
      </c>
      <c r="L26" s="782" t="str">
        <f t="shared" si="3"/>
        <v/>
      </c>
      <c r="M26" s="782" t="str">
        <f t="shared" si="4"/>
        <v/>
      </c>
    </row>
    <row r="27" spans="1:13" ht="26.4" customHeight="1">
      <c r="A27" s="783"/>
      <c r="B27" s="783"/>
      <c r="C27" s="785"/>
      <c r="D27" s="784"/>
      <c r="E27" s="784"/>
      <c r="F27" s="784"/>
      <c r="G27" s="785"/>
      <c r="H27" s="784"/>
      <c r="I27" s="806" t="str">
        <f t="shared" si="0"/>
        <v/>
      </c>
      <c r="J27" s="782" t="str">
        <f t="shared" si="1"/>
        <v/>
      </c>
      <c r="K27" s="782" t="str">
        <f t="shared" si="2"/>
        <v/>
      </c>
      <c r="L27" s="782" t="str">
        <f t="shared" si="3"/>
        <v/>
      </c>
      <c r="M27" s="782" t="str">
        <f t="shared" si="4"/>
        <v/>
      </c>
    </row>
    <row r="28" spans="1:13" ht="26.4" customHeight="1">
      <c r="A28" s="783"/>
      <c r="B28" s="783"/>
      <c r="C28" s="785"/>
      <c r="D28" s="784"/>
      <c r="E28" s="784"/>
      <c r="F28" s="784"/>
      <c r="G28" s="785"/>
      <c r="H28" s="784"/>
      <c r="I28" s="806" t="str">
        <f t="shared" si="0"/>
        <v/>
      </c>
      <c r="J28" s="782" t="str">
        <f t="shared" si="1"/>
        <v/>
      </c>
      <c r="K28" s="782" t="str">
        <f t="shared" si="2"/>
        <v/>
      </c>
      <c r="L28" s="782" t="str">
        <f t="shared" si="3"/>
        <v/>
      </c>
      <c r="M28" s="782" t="str">
        <f t="shared" si="4"/>
        <v/>
      </c>
    </row>
    <row r="29" spans="1:13" ht="26.4" customHeight="1">
      <c r="A29" s="783"/>
      <c r="B29" s="783"/>
      <c r="C29" s="784"/>
      <c r="D29" s="785"/>
      <c r="E29" s="784"/>
      <c r="F29" s="785"/>
      <c r="G29" s="784"/>
      <c r="H29" s="785"/>
      <c r="I29" s="806" t="str">
        <f t="shared" si="0"/>
        <v/>
      </c>
      <c r="J29" s="782" t="str">
        <f t="shared" si="1"/>
        <v/>
      </c>
      <c r="K29" s="782" t="str">
        <f t="shared" si="2"/>
        <v/>
      </c>
      <c r="L29" s="782" t="str">
        <f t="shared" si="3"/>
        <v/>
      </c>
      <c r="M29" s="782" t="str">
        <f t="shared" si="4"/>
        <v/>
      </c>
    </row>
    <row r="30" spans="1:13" ht="26.4" customHeight="1">
      <c r="A30" s="783"/>
      <c r="B30" s="783"/>
      <c r="C30" s="784"/>
      <c r="D30" s="785"/>
      <c r="E30" s="784"/>
      <c r="F30" s="785"/>
      <c r="G30" s="784"/>
      <c r="H30" s="785"/>
      <c r="I30" s="806" t="str">
        <f t="shared" si="0"/>
        <v/>
      </c>
      <c r="J30" s="782" t="str">
        <f t="shared" si="1"/>
        <v/>
      </c>
      <c r="K30" s="782" t="str">
        <f t="shared" si="2"/>
        <v/>
      </c>
      <c r="L30" s="782" t="str">
        <f t="shared" si="3"/>
        <v/>
      </c>
      <c r="M30" s="782" t="str">
        <f t="shared" si="4"/>
        <v/>
      </c>
    </row>
    <row r="31" spans="1:13" ht="26.4" customHeight="1">
      <c r="A31" s="783"/>
      <c r="B31" s="783"/>
      <c r="C31" s="784"/>
      <c r="D31" s="784"/>
      <c r="E31" s="784"/>
      <c r="F31" s="785"/>
      <c r="G31" s="784"/>
      <c r="H31" s="785"/>
      <c r="I31" s="806" t="str">
        <f t="shared" si="0"/>
        <v/>
      </c>
      <c r="J31" s="782" t="str">
        <f t="shared" si="1"/>
        <v/>
      </c>
      <c r="K31" s="782" t="str">
        <f t="shared" si="2"/>
        <v/>
      </c>
      <c r="L31" s="782" t="str">
        <f t="shared" si="3"/>
        <v/>
      </c>
      <c r="M31" s="782" t="str">
        <f t="shared" si="4"/>
        <v/>
      </c>
    </row>
    <row r="32" spans="1:13" ht="26.4" customHeight="1">
      <c r="A32" s="783"/>
      <c r="B32" s="783"/>
      <c r="C32" s="784"/>
      <c r="D32" s="785"/>
      <c r="E32" s="784"/>
      <c r="F32" s="785"/>
      <c r="G32" s="784"/>
      <c r="H32" s="785"/>
      <c r="I32" s="806" t="str">
        <f t="shared" si="0"/>
        <v/>
      </c>
      <c r="J32" s="782" t="str">
        <f t="shared" si="1"/>
        <v/>
      </c>
      <c r="K32" s="782" t="str">
        <f t="shared" si="2"/>
        <v/>
      </c>
      <c r="L32" s="782" t="str">
        <f t="shared" si="3"/>
        <v/>
      </c>
      <c r="M32" s="782" t="str">
        <f t="shared" si="4"/>
        <v/>
      </c>
    </row>
    <row r="33" spans="1:13" ht="26.4" customHeight="1">
      <c r="A33" s="783"/>
      <c r="B33" s="783"/>
      <c r="C33" s="784"/>
      <c r="D33" s="785"/>
      <c r="E33" s="784"/>
      <c r="F33" s="785"/>
      <c r="G33" s="784"/>
      <c r="H33" s="785"/>
      <c r="I33" s="806" t="str">
        <f t="shared" si="0"/>
        <v/>
      </c>
      <c r="J33" s="782" t="str">
        <f t="shared" si="1"/>
        <v/>
      </c>
      <c r="K33" s="782" t="str">
        <f t="shared" si="2"/>
        <v/>
      </c>
      <c r="L33" s="782" t="str">
        <f t="shared" si="3"/>
        <v/>
      </c>
      <c r="M33" s="782" t="str">
        <f t="shared" si="4"/>
        <v/>
      </c>
    </row>
    <row r="34" spans="1:13" ht="26.4" customHeight="1">
      <c r="A34" s="783"/>
      <c r="B34" s="783"/>
      <c r="C34" s="784"/>
      <c r="D34" s="785"/>
      <c r="E34" s="784"/>
      <c r="F34" s="785"/>
      <c r="G34" s="784"/>
      <c r="H34" s="785"/>
      <c r="I34" s="806" t="str">
        <f t="shared" si="0"/>
        <v/>
      </c>
      <c r="J34" s="782" t="str">
        <f t="shared" si="1"/>
        <v/>
      </c>
      <c r="K34" s="782" t="str">
        <f t="shared" si="2"/>
        <v/>
      </c>
      <c r="L34" s="782" t="str">
        <f t="shared" si="3"/>
        <v/>
      </c>
      <c r="M34" s="782" t="str">
        <f t="shared" si="4"/>
        <v/>
      </c>
    </row>
    <row r="35" spans="1:13" s="787" customFormat="1" ht="26.4" customHeight="1">
      <c r="A35" s="783"/>
      <c r="B35" s="783"/>
      <c r="C35" s="784"/>
      <c r="D35" s="785"/>
      <c r="E35" s="784"/>
      <c r="F35" s="785"/>
      <c r="G35" s="784"/>
      <c r="H35" s="785"/>
      <c r="I35" s="806" t="str">
        <f t="shared" si="0"/>
        <v/>
      </c>
      <c r="J35" s="782" t="str">
        <f t="shared" si="1"/>
        <v/>
      </c>
      <c r="K35" s="782" t="str">
        <f t="shared" si="2"/>
        <v/>
      </c>
      <c r="L35" s="782" t="str">
        <f t="shared" si="3"/>
        <v/>
      </c>
      <c r="M35" s="782" t="str">
        <f t="shared" si="4"/>
        <v/>
      </c>
    </row>
    <row r="36" spans="1:13" ht="26.4" customHeight="1">
      <c r="A36" s="783"/>
      <c r="B36" s="783"/>
      <c r="C36" s="784"/>
      <c r="D36" s="785"/>
      <c r="E36" s="784"/>
      <c r="F36" s="785"/>
      <c r="G36" s="784"/>
      <c r="H36" s="785"/>
      <c r="I36" s="806" t="str">
        <f t="shared" si="0"/>
        <v/>
      </c>
      <c r="J36" s="782" t="str">
        <f t="shared" si="1"/>
        <v/>
      </c>
      <c r="K36" s="782" t="str">
        <f t="shared" si="2"/>
        <v/>
      </c>
      <c r="L36" s="782" t="str">
        <f t="shared" si="3"/>
        <v/>
      </c>
      <c r="M36" s="782" t="str">
        <f t="shared" si="4"/>
        <v/>
      </c>
    </row>
    <row r="37" spans="1:13" ht="26.4" customHeight="1">
      <c r="A37" s="783"/>
      <c r="B37" s="783"/>
      <c r="C37" s="784"/>
      <c r="D37" s="785"/>
      <c r="E37" s="784"/>
      <c r="F37" s="785"/>
      <c r="G37" s="784"/>
      <c r="H37" s="785"/>
      <c r="I37" s="806" t="str">
        <f t="shared" si="0"/>
        <v/>
      </c>
      <c r="J37" s="782" t="str">
        <f t="shared" si="1"/>
        <v/>
      </c>
      <c r="K37" s="782" t="str">
        <f t="shared" si="2"/>
        <v/>
      </c>
      <c r="L37" s="782" t="str">
        <f t="shared" si="3"/>
        <v/>
      </c>
      <c r="M37" s="782" t="str">
        <f t="shared" si="4"/>
        <v/>
      </c>
    </row>
    <row r="38" spans="1:13" ht="26.4" customHeight="1">
      <c r="A38" s="783"/>
      <c r="B38" s="783"/>
      <c r="C38" s="784"/>
      <c r="D38" s="785"/>
      <c r="E38" s="784"/>
      <c r="F38" s="785"/>
      <c r="G38" s="784"/>
      <c r="H38" s="785"/>
      <c r="I38" s="806" t="str">
        <f t="shared" si="0"/>
        <v/>
      </c>
      <c r="J38" s="782" t="str">
        <f t="shared" si="1"/>
        <v/>
      </c>
      <c r="K38" s="782" t="str">
        <f t="shared" si="2"/>
        <v/>
      </c>
      <c r="L38" s="782" t="str">
        <f t="shared" si="3"/>
        <v/>
      </c>
      <c r="M38" s="782" t="str">
        <f t="shared" si="4"/>
        <v/>
      </c>
    </row>
    <row r="39" spans="1:13" ht="26.4" customHeight="1">
      <c r="A39" s="783"/>
      <c r="B39" s="783"/>
      <c r="C39" s="785"/>
      <c r="D39" s="784"/>
      <c r="E39" s="785"/>
      <c r="F39" s="785"/>
      <c r="G39" s="785"/>
      <c r="H39" s="784"/>
      <c r="I39" s="806" t="str">
        <f t="shared" si="0"/>
        <v/>
      </c>
      <c r="J39" s="782" t="str">
        <f t="shared" si="1"/>
        <v/>
      </c>
      <c r="K39" s="782" t="str">
        <f t="shared" si="2"/>
        <v/>
      </c>
      <c r="L39" s="782" t="str">
        <f t="shared" si="3"/>
        <v/>
      </c>
      <c r="M39" s="782" t="str">
        <f t="shared" si="4"/>
        <v/>
      </c>
    </row>
    <row r="40" spans="1:13" ht="26.4" customHeight="1">
      <c r="A40" s="783"/>
      <c r="B40" s="783"/>
      <c r="C40" s="784"/>
      <c r="D40" s="784"/>
      <c r="E40" s="785"/>
      <c r="F40" s="785"/>
      <c r="G40" s="784"/>
      <c r="H40" s="785"/>
      <c r="I40" s="806" t="str">
        <f t="shared" si="0"/>
        <v/>
      </c>
      <c r="J40" s="782" t="str">
        <f t="shared" si="1"/>
        <v/>
      </c>
      <c r="K40" s="782" t="str">
        <f t="shared" si="2"/>
        <v/>
      </c>
      <c r="L40" s="782" t="str">
        <f t="shared" si="3"/>
        <v/>
      </c>
      <c r="M40" s="782" t="str">
        <f t="shared" si="4"/>
        <v/>
      </c>
    </row>
    <row r="41" spans="1:13" ht="26.4" customHeight="1">
      <c r="A41" s="783"/>
      <c r="B41" s="783"/>
      <c r="C41" s="784"/>
      <c r="D41" s="784"/>
      <c r="E41" s="785"/>
      <c r="F41" s="785"/>
      <c r="G41" s="785"/>
      <c r="H41" s="784"/>
      <c r="I41" s="806" t="str">
        <f t="shared" si="0"/>
        <v/>
      </c>
      <c r="J41" s="782" t="str">
        <f t="shared" si="1"/>
        <v/>
      </c>
      <c r="K41" s="782" t="str">
        <f t="shared" si="2"/>
        <v/>
      </c>
      <c r="L41" s="782" t="str">
        <f t="shared" si="3"/>
        <v/>
      </c>
      <c r="M41" s="782" t="str">
        <f t="shared" si="4"/>
        <v/>
      </c>
    </row>
    <row r="42" spans="1:13" ht="26.4" customHeight="1">
      <c r="A42" s="783"/>
      <c r="B42" s="783"/>
      <c r="C42" s="784"/>
      <c r="D42" s="785"/>
      <c r="E42" s="785"/>
      <c r="F42" s="784"/>
      <c r="G42" s="784"/>
      <c r="H42" s="784"/>
      <c r="I42" s="806" t="str">
        <f t="shared" si="0"/>
        <v/>
      </c>
      <c r="J42" s="782" t="str">
        <f t="shared" si="1"/>
        <v/>
      </c>
      <c r="K42" s="782" t="str">
        <f t="shared" si="2"/>
        <v/>
      </c>
      <c r="L42" s="782" t="str">
        <f t="shared" si="3"/>
        <v/>
      </c>
      <c r="M42" s="782" t="str">
        <f t="shared" si="4"/>
        <v/>
      </c>
    </row>
    <row r="43" spans="1:13" ht="26.4" customHeight="1">
      <c r="A43" s="783"/>
      <c r="B43" s="783"/>
      <c r="C43" s="785"/>
      <c r="D43" s="784"/>
      <c r="E43" s="784"/>
      <c r="F43" s="784"/>
      <c r="G43" s="785"/>
      <c r="H43" s="784"/>
      <c r="I43" s="806" t="str">
        <f t="shared" si="0"/>
        <v/>
      </c>
      <c r="J43" s="782" t="str">
        <f t="shared" si="1"/>
        <v/>
      </c>
      <c r="K43" s="782" t="str">
        <f t="shared" si="2"/>
        <v/>
      </c>
      <c r="L43" s="782" t="str">
        <f t="shared" si="3"/>
        <v/>
      </c>
      <c r="M43" s="782" t="str">
        <f t="shared" si="4"/>
        <v/>
      </c>
    </row>
    <row r="44" spans="1:13" ht="26.4" customHeight="1">
      <c r="A44" s="783"/>
      <c r="B44" s="783"/>
      <c r="C44" s="785"/>
      <c r="D44" s="784"/>
      <c r="E44" s="785"/>
      <c r="F44" s="785"/>
      <c r="G44" s="785"/>
      <c r="H44" s="784"/>
      <c r="I44" s="806" t="str">
        <f t="shared" si="0"/>
        <v/>
      </c>
      <c r="J44" s="782" t="str">
        <f t="shared" si="1"/>
        <v/>
      </c>
      <c r="K44" s="782" t="str">
        <f t="shared" si="2"/>
        <v/>
      </c>
      <c r="L44" s="782" t="str">
        <f t="shared" si="3"/>
        <v/>
      </c>
      <c r="M44" s="782" t="str">
        <f t="shared" si="4"/>
        <v/>
      </c>
    </row>
    <row r="45" spans="1:13" ht="26.4" customHeight="1">
      <c r="A45" s="783"/>
      <c r="B45" s="783"/>
      <c r="C45" s="784"/>
      <c r="D45" s="784"/>
      <c r="E45" s="785"/>
      <c r="F45" s="785"/>
      <c r="G45" s="784"/>
      <c r="H45" s="785"/>
      <c r="I45" s="806" t="str">
        <f t="shared" si="0"/>
        <v/>
      </c>
      <c r="J45" s="782" t="str">
        <f t="shared" si="1"/>
        <v/>
      </c>
      <c r="K45" s="782" t="str">
        <f t="shared" si="2"/>
        <v/>
      </c>
      <c r="L45" s="782" t="str">
        <f t="shared" si="3"/>
        <v/>
      </c>
      <c r="M45" s="782" t="str">
        <f t="shared" si="4"/>
        <v/>
      </c>
    </row>
    <row r="46" spans="1:13" ht="26.4" customHeight="1">
      <c r="A46" s="783"/>
      <c r="B46" s="783"/>
      <c r="C46" s="784"/>
      <c r="D46" s="785"/>
      <c r="E46" s="785"/>
      <c r="F46" s="785"/>
      <c r="G46" s="784"/>
      <c r="H46" s="785"/>
      <c r="I46" s="806" t="str">
        <f t="shared" si="0"/>
        <v/>
      </c>
      <c r="J46" s="782" t="str">
        <f t="shared" si="1"/>
        <v/>
      </c>
      <c r="K46" s="782" t="str">
        <f t="shared" si="2"/>
        <v/>
      </c>
      <c r="L46" s="782" t="str">
        <f t="shared" si="3"/>
        <v/>
      </c>
      <c r="M46" s="782" t="str">
        <f t="shared" si="4"/>
        <v/>
      </c>
    </row>
    <row r="47" spans="1:13" ht="26.4" customHeight="1">
      <c r="A47" s="783"/>
      <c r="B47" s="783"/>
      <c r="C47" s="785"/>
      <c r="D47" s="784"/>
      <c r="E47" s="785"/>
      <c r="F47" s="785"/>
      <c r="G47" s="784"/>
      <c r="H47" s="784"/>
      <c r="I47" s="806" t="str">
        <f t="shared" si="0"/>
        <v/>
      </c>
      <c r="J47" s="782" t="str">
        <f t="shared" si="1"/>
        <v/>
      </c>
      <c r="K47" s="782" t="str">
        <f t="shared" si="2"/>
        <v/>
      </c>
      <c r="L47" s="782" t="str">
        <f t="shared" si="3"/>
        <v/>
      </c>
      <c r="M47" s="782" t="str">
        <f t="shared" si="4"/>
        <v/>
      </c>
    </row>
    <row r="48" spans="1:13" ht="26.4" customHeight="1">
      <c r="A48" s="783"/>
      <c r="B48" s="783"/>
      <c r="C48" s="784"/>
      <c r="D48" s="784"/>
      <c r="E48" s="785"/>
      <c r="F48" s="785"/>
      <c r="G48" s="784"/>
      <c r="H48" s="785"/>
      <c r="I48" s="806" t="str">
        <f t="shared" si="0"/>
        <v/>
      </c>
      <c r="J48" s="782" t="str">
        <f t="shared" si="1"/>
        <v/>
      </c>
      <c r="K48" s="782" t="str">
        <f t="shared" si="2"/>
        <v/>
      </c>
      <c r="L48" s="782" t="str">
        <f t="shared" si="3"/>
        <v/>
      </c>
      <c r="M48" s="782" t="str">
        <f t="shared" si="4"/>
        <v/>
      </c>
    </row>
    <row r="49" spans="1:13" ht="26.4" customHeight="1">
      <c r="A49" s="783"/>
      <c r="B49" s="783"/>
      <c r="C49" s="784"/>
      <c r="D49" s="785"/>
      <c r="E49" s="785"/>
      <c r="F49" s="785"/>
      <c r="G49" s="784"/>
      <c r="H49" s="785"/>
      <c r="I49" s="806" t="str">
        <f t="shared" si="0"/>
        <v/>
      </c>
      <c r="J49" s="782" t="str">
        <f t="shared" si="1"/>
        <v/>
      </c>
      <c r="K49" s="782" t="str">
        <f t="shared" si="2"/>
        <v/>
      </c>
      <c r="L49" s="782" t="str">
        <f t="shared" si="3"/>
        <v/>
      </c>
      <c r="M49" s="782" t="str">
        <f t="shared" si="4"/>
        <v/>
      </c>
    </row>
    <row r="50" spans="1:14" ht="26.4" customHeight="1">
      <c r="A50" s="783"/>
      <c r="B50" s="783"/>
      <c r="C50" s="784"/>
      <c r="D50" s="784"/>
      <c r="E50" s="785"/>
      <c r="F50" s="784"/>
      <c r="G50" s="785"/>
      <c r="H50" s="784"/>
      <c r="I50" s="806" t="str">
        <f t="shared" si="0"/>
        <v/>
      </c>
      <c r="J50" s="782" t="str">
        <f t="shared" si="1"/>
        <v/>
      </c>
      <c r="K50" s="782" t="str">
        <f t="shared" si="2"/>
        <v/>
      </c>
      <c r="L50" s="782" t="str">
        <f t="shared" si="3"/>
        <v/>
      </c>
      <c r="M50" s="782" t="str">
        <f t="shared" si="4"/>
        <v/>
      </c>
      <c r="N50" s="788"/>
    </row>
    <row r="51" spans="1:13" ht="26.4" customHeight="1">
      <c r="A51" s="783"/>
      <c r="B51" s="783"/>
      <c r="C51" s="784"/>
      <c r="D51" s="785"/>
      <c r="E51" s="785"/>
      <c r="F51" s="785"/>
      <c r="G51" s="784"/>
      <c r="H51" s="785"/>
      <c r="I51" s="806" t="str">
        <f t="shared" si="0"/>
        <v/>
      </c>
      <c r="J51" s="782" t="str">
        <f t="shared" si="1"/>
        <v/>
      </c>
      <c r="K51" s="782" t="str">
        <f t="shared" si="2"/>
        <v/>
      </c>
      <c r="L51" s="782" t="str">
        <f t="shared" si="3"/>
        <v/>
      </c>
      <c r="M51" s="782" t="str">
        <f t="shared" si="4"/>
        <v/>
      </c>
    </row>
    <row r="52" spans="1:13" ht="26.4" customHeight="1">
      <c r="A52" s="783"/>
      <c r="B52" s="783"/>
      <c r="C52" s="784"/>
      <c r="D52" s="785"/>
      <c r="E52" s="785"/>
      <c r="F52" s="785"/>
      <c r="G52" s="784"/>
      <c r="H52" s="785"/>
      <c r="I52" s="806" t="str">
        <f t="shared" si="0"/>
        <v/>
      </c>
      <c r="J52" s="782" t="str">
        <f t="shared" si="1"/>
        <v/>
      </c>
      <c r="K52" s="782" t="str">
        <f t="shared" si="2"/>
        <v/>
      </c>
      <c r="L52" s="782" t="str">
        <f t="shared" si="3"/>
        <v/>
      </c>
      <c r="M52" s="782" t="str">
        <f t="shared" si="4"/>
        <v/>
      </c>
    </row>
    <row r="53" spans="1:13" ht="26.4" customHeight="1">
      <c r="A53" s="783"/>
      <c r="B53" s="783"/>
      <c r="C53" s="784"/>
      <c r="D53" s="785"/>
      <c r="E53" s="784"/>
      <c r="F53" s="784"/>
      <c r="G53" s="784"/>
      <c r="H53" s="785"/>
      <c r="I53" s="806" t="str">
        <f t="shared" si="0"/>
        <v/>
      </c>
      <c r="J53" s="782" t="str">
        <f t="shared" si="1"/>
        <v/>
      </c>
      <c r="K53" s="782" t="str">
        <f t="shared" si="2"/>
        <v/>
      </c>
      <c r="L53" s="782" t="str">
        <f t="shared" si="3"/>
        <v/>
      </c>
      <c r="M53" s="782" t="str">
        <f t="shared" si="4"/>
        <v/>
      </c>
    </row>
    <row r="54" spans="1:13" ht="26.4" customHeight="1">
      <c r="A54" s="783"/>
      <c r="B54" s="783"/>
      <c r="C54" s="784"/>
      <c r="D54" s="784"/>
      <c r="E54" s="785"/>
      <c r="F54" s="784"/>
      <c r="G54" s="785"/>
      <c r="H54" s="784"/>
      <c r="I54" s="806" t="str">
        <f t="shared" si="0"/>
        <v/>
      </c>
      <c r="J54" s="782" t="str">
        <f t="shared" si="1"/>
        <v/>
      </c>
      <c r="K54" s="782" t="str">
        <f t="shared" si="2"/>
        <v/>
      </c>
      <c r="L54" s="782" t="str">
        <f t="shared" si="3"/>
        <v/>
      </c>
      <c r="M54" s="782" t="str">
        <f t="shared" si="4"/>
        <v/>
      </c>
    </row>
    <row r="55" spans="1:13" ht="26.4" customHeight="1">
      <c r="A55" s="783"/>
      <c r="B55" s="783"/>
      <c r="C55" s="785"/>
      <c r="D55" s="784"/>
      <c r="E55" s="785"/>
      <c r="F55" s="784"/>
      <c r="G55" s="785"/>
      <c r="H55" s="784"/>
      <c r="I55" s="806" t="str">
        <f t="shared" si="0"/>
        <v/>
      </c>
      <c r="J55" s="782" t="str">
        <f t="shared" si="1"/>
        <v/>
      </c>
      <c r="K55" s="782" t="str">
        <f t="shared" si="2"/>
        <v/>
      </c>
      <c r="L55" s="782" t="str">
        <f t="shared" si="3"/>
        <v/>
      </c>
      <c r="M55" s="782" t="str">
        <f t="shared" si="4"/>
        <v/>
      </c>
    </row>
    <row r="56" spans="1:13" ht="26.4" customHeight="1">
      <c r="A56" s="783"/>
      <c r="B56" s="783"/>
      <c r="C56" s="784"/>
      <c r="D56" s="785"/>
      <c r="E56" s="785"/>
      <c r="F56" s="785"/>
      <c r="G56" s="784"/>
      <c r="H56" s="785"/>
      <c r="I56" s="806" t="str">
        <f t="shared" si="0"/>
        <v/>
      </c>
      <c r="J56" s="782" t="str">
        <f t="shared" si="1"/>
        <v/>
      </c>
      <c r="K56" s="782" t="str">
        <f t="shared" si="2"/>
        <v/>
      </c>
      <c r="L56" s="782" t="str">
        <f t="shared" si="3"/>
        <v/>
      </c>
      <c r="M56" s="782" t="str">
        <f t="shared" si="4"/>
        <v/>
      </c>
    </row>
    <row r="57" spans="1:13" ht="26.4" customHeight="1">
      <c r="A57" s="783"/>
      <c r="B57" s="783"/>
      <c r="C57" s="784"/>
      <c r="D57" s="784"/>
      <c r="E57" s="785"/>
      <c r="F57" s="785"/>
      <c r="G57" s="784"/>
      <c r="H57" s="784"/>
      <c r="I57" s="806" t="str">
        <f t="shared" si="0"/>
        <v/>
      </c>
      <c r="J57" s="782" t="str">
        <f t="shared" si="1"/>
        <v/>
      </c>
      <c r="K57" s="782" t="str">
        <f t="shared" si="2"/>
        <v/>
      </c>
      <c r="L57" s="782" t="str">
        <f t="shared" si="3"/>
        <v/>
      </c>
      <c r="M57" s="782" t="str">
        <f t="shared" si="4"/>
        <v/>
      </c>
    </row>
    <row r="58" spans="1:13" ht="26.4" customHeight="1">
      <c r="A58" s="783"/>
      <c r="B58" s="783"/>
      <c r="C58" s="784"/>
      <c r="D58" s="785"/>
      <c r="E58" s="784"/>
      <c r="F58" s="784"/>
      <c r="G58" s="784"/>
      <c r="H58" s="785"/>
      <c r="I58" s="806" t="str">
        <f t="shared" si="0"/>
        <v/>
      </c>
      <c r="J58" s="782" t="str">
        <f t="shared" si="1"/>
        <v/>
      </c>
      <c r="K58" s="782" t="str">
        <f t="shared" si="2"/>
        <v/>
      </c>
      <c r="L58" s="782" t="str">
        <f t="shared" si="3"/>
        <v/>
      </c>
      <c r="M58" s="782" t="str">
        <f t="shared" si="4"/>
        <v/>
      </c>
    </row>
    <row r="59" spans="1:13" ht="26.4" customHeight="1">
      <c r="A59" s="783"/>
      <c r="B59" s="783"/>
      <c r="C59" s="784"/>
      <c r="D59" s="784"/>
      <c r="E59" s="785"/>
      <c r="F59" s="784"/>
      <c r="G59" s="785"/>
      <c r="H59" s="784"/>
      <c r="I59" s="806" t="str">
        <f t="shared" si="0"/>
        <v/>
      </c>
      <c r="J59" s="782" t="str">
        <f t="shared" si="1"/>
        <v/>
      </c>
      <c r="K59" s="782" t="str">
        <f t="shared" si="2"/>
        <v/>
      </c>
      <c r="L59" s="782" t="str">
        <f t="shared" si="3"/>
        <v/>
      </c>
      <c r="M59" s="782" t="str">
        <f t="shared" si="4"/>
        <v/>
      </c>
    </row>
    <row r="60" spans="1:13" ht="26.4" customHeight="1">
      <c r="A60" s="783"/>
      <c r="B60" s="783"/>
      <c r="C60" s="785"/>
      <c r="D60" s="784"/>
      <c r="E60" s="784"/>
      <c r="F60" s="784"/>
      <c r="G60" s="785"/>
      <c r="H60" s="784"/>
      <c r="I60" s="806" t="str">
        <f t="shared" si="0"/>
        <v/>
      </c>
      <c r="J60" s="782" t="str">
        <f t="shared" si="1"/>
        <v/>
      </c>
      <c r="K60" s="782" t="str">
        <f t="shared" si="2"/>
        <v/>
      </c>
      <c r="L60" s="782" t="str">
        <f t="shared" si="3"/>
        <v/>
      </c>
      <c r="M60" s="782" t="str">
        <f t="shared" si="4"/>
        <v/>
      </c>
    </row>
    <row r="61" spans="1:13" ht="26.4" customHeight="1">
      <c r="A61" s="783"/>
      <c r="B61" s="783"/>
      <c r="C61" s="785"/>
      <c r="D61" s="784"/>
      <c r="E61" s="784"/>
      <c r="F61" s="784"/>
      <c r="G61" s="785"/>
      <c r="H61" s="784"/>
      <c r="I61" s="806" t="str">
        <f t="shared" si="0"/>
        <v/>
      </c>
      <c r="J61" s="782" t="str">
        <f t="shared" si="1"/>
        <v/>
      </c>
      <c r="K61" s="782" t="str">
        <f t="shared" si="2"/>
        <v/>
      </c>
      <c r="L61" s="782" t="str">
        <f t="shared" si="3"/>
        <v/>
      </c>
      <c r="M61" s="782" t="str">
        <f t="shared" si="4"/>
        <v/>
      </c>
    </row>
    <row r="62" spans="1:13" ht="26.4" customHeight="1">
      <c r="A62" s="783"/>
      <c r="B62" s="783"/>
      <c r="C62" s="785"/>
      <c r="D62" s="784"/>
      <c r="E62" s="784"/>
      <c r="F62" s="784"/>
      <c r="G62" s="785"/>
      <c r="H62" s="784"/>
      <c r="I62" s="806" t="str">
        <f t="shared" si="0"/>
        <v/>
      </c>
      <c r="J62" s="782" t="str">
        <f t="shared" si="1"/>
        <v/>
      </c>
      <c r="K62" s="782" t="str">
        <f t="shared" si="2"/>
        <v/>
      </c>
      <c r="L62" s="782" t="str">
        <f t="shared" si="3"/>
        <v/>
      </c>
      <c r="M62" s="782" t="str">
        <f t="shared" si="4"/>
        <v/>
      </c>
    </row>
    <row r="63" spans="1:13" ht="26.4" customHeight="1">
      <c r="A63" s="783"/>
      <c r="B63" s="783"/>
      <c r="C63" s="784"/>
      <c r="D63" s="785"/>
      <c r="E63" s="784"/>
      <c r="F63" s="784"/>
      <c r="G63" s="784"/>
      <c r="H63" s="785"/>
      <c r="I63" s="806" t="str">
        <f t="shared" si="0"/>
        <v/>
      </c>
      <c r="J63" s="782" t="str">
        <f t="shared" si="1"/>
        <v/>
      </c>
      <c r="K63" s="782" t="str">
        <f t="shared" si="2"/>
        <v/>
      </c>
      <c r="L63" s="782" t="str">
        <f t="shared" si="3"/>
        <v/>
      </c>
      <c r="M63" s="782" t="str">
        <f t="shared" si="4"/>
        <v/>
      </c>
    </row>
    <row r="64" spans="1:13" ht="26.4" customHeight="1">
      <c r="A64" s="783"/>
      <c r="B64" s="783"/>
      <c r="C64" s="784"/>
      <c r="D64" s="785"/>
      <c r="E64" s="784"/>
      <c r="F64" s="784"/>
      <c r="G64" s="784"/>
      <c r="H64" s="785"/>
      <c r="I64" s="806" t="str">
        <f t="shared" si="0"/>
        <v/>
      </c>
      <c r="J64" s="782" t="str">
        <f t="shared" si="1"/>
        <v/>
      </c>
      <c r="K64" s="782" t="str">
        <f t="shared" si="2"/>
        <v/>
      </c>
      <c r="L64" s="782" t="str">
        <f t="shared" si="3"/>
        <v/>
      </c>
      <c r="M64" s="782" t="str">
        <f t="shared" si="4"/>
        <v/>
      </c>
    </row>
    <row r="65" spans="1:13" ht="26.4" customHeight="1">
      <c r="A65" s="783"/>
      <c r="B65" s="783"/>
      <c r="C65" s="785"/>
      <c r="D65" s="784"/>
      <c r="E65" s="785"/>
      <c r="F65" s="785"/>
      <c r="G65" s="785"/>
      <c r="H65" s="784"/>
      <c r="I65" s="806" t="str">
        <f t="shared" si="0"/>
        <v/>
      </c>
      <c r="J65" s="782" t="str">
        <f t="shared" si="1"/>
        <v/>
      </c>
      <c r="K65" s="782" t="str">
        <f t="shared" si="2"/>
        <v/>
      </c>
      <c r="L65" s="782" t="str">
        <f t="shared" si="3"/>
        <v/>
      </c>
      <c r="M65" s="782" t="str">
        <f t="shared" si="4"/>
        <v/>
      </c>
    </row>
    <row r="66" spans="1:13" ht="26.4" customHeight="1">
      <c r="A66" s="783"/>
      <c r="B66" s="783"/>
      <c r="C66" s="785"/>
      <c r="D66" s="784"/>
      <c r="E66" s="784"/>
      <c r="F66" s="785"/>
      <c r="G66" s="785"/>
      <c r="H66" s="784"/>
      <c r="I66" s="806" t="str">
        <f t="shared" si="0"/>
        <v/>
      </c>
      <c r="J66" s="782" t="str">
        <f t="shared" si="1"/>
        <v/>
      </c>
      <c r="K66" s="782" t="str">
        <f t="shared" si="2"/>
        <v/>
      </c>
      <c r="L66" s="782" t="str">
        <f t="shared" si="3"/>
        <v/>
      </c>
      <c r="M66" s="782" t="str">
        <f t="shared" si="4"/>
        <v/>
      </c>
    </row>
    <row r="67" spans="1:13" ht="26.4" customHeight="1">
      <c r="A67" s="783"/>
      <c r="B67" s="783"/>
      <c r="C67" s="785"/>
      <c r="D67" s="784"/>
      <c r="E67" s="785"/>
      <c r="F67" s="785"/>
      <c r="G67" s="785"/>
      <c r="H67" s="784"/>
      <c r="I67" s="806" t="str">
        <f t="shared" si="5" ref="I67:I130">LEFT(A67,2)</f>
        <v/>
      </c>
      <c r="J67" s="782" t="str">
        <f t="shared" si="6" ref="J67:J130">LEFT(A67,3)</f>
        <v/>
      </c>
      <c r="K67" s="782" t="str">
        <f t="shared" si="7" ref="K67:K130">LEFT(A67,4)</f>
        <v/>
      </c>
      <c r="L67" s="782" t="str">
        <f t="shared" si="8" ref="L67:L130">LEFT(A67,5)</f>
        <v/>
      </c>
      <c r="M67" s="782" t="str">
        <f t="shared" si="9" ref="M67:M130">LEFT(A67,1)</f>
        <v/>
      </c>
    </row>
    <row r="68" spans="1:13" ht="26.4" customHeight="1">
      <c r="A68" s="783"/>
      <c r="B68" s="783"/>
      <c r="C68" s="784"/>
      <c r="D68" s="784"/>
      <c r="E68" s="785"/>
      <c r="F68" s="785"/>
      <c r="G68" s="784"/>
      <c r="H68" s="784"/>
      <c r="I68" s="806" t="str">
        <f t="shared" si="5"/>
        <v/>
      </c>
      <c r="J68" s="782" t="str">
        <f t="shared" si="6"/>
        <v/>
      </c>
      <c r="K68" s="782" t="str">
        <f t="shared" si="7"/>
        <v/>
      </c>
      <c r="L68" s="782" t="str">
        <f t="shared" si="8"/>
        <v/>
      </c>
      <c r="M68" s="782" t="str">
        <f t="shared" si="9"/>
        <v/>
      </c>
    </row>
    <row r="69" spans="1:13" ht="26.4" customHeight="1">
      <c r="A69" s="783"/>
      <c r="B69" s="783"/>
      <c r="C69" s="784"/>
      <c r="D69" s="784"/>
      <c r="E69" s="785"/>
      <c r="F69" s="784"/>
      <c r="G69" s="785"/>
      <c r="H69" s="784"/>
      <c r="I69" s="806" t="str">
        <f t="shared" si="5"/>
        <v/>
      </c>
      <c r="J69" s="782" t="str">
        <f t="shared" si="6"/>
        <v/>
      </c>
      <c r="K69" s="782" t="str">
        <f t="shared" si="7"/>
        <v/>
      </c>
      <c r="L69" s="782" t="str">
        <f t="shared" si="8"/>
        <v/>
      </c>
      <c r="M69" s="782" t="str">
        <f t="shared" si="9"/>
        <v/>
      </c>
    </row>
    <row r="70" spans="1:13" ht="26.4" customHeight="1">
      <c r="A70" s="783"/>
      <c r="B70" s="783"/>
      <c r="C70" s="784"/>
      <c r="D70" s="784"/>
      <c r="E70" s="785"/>
      <c r="F70" s="785"/>
      <c r="G70" s="784"/>
      <c r="H70" s="785"/>
      <c r="I70" s="806" t="str">
        <f t="shared" si="5"/>
        <v/>
      </c>
      <c r="J70" s="782" t="str">
        <f t="shared" si="6"/>
        <v/>
      </c>
      <c r="K70" s="782" t="str">
        <f t="shared" si="7"/>
        <v/>
      </c>
      <c r="L70" s="782" t="str">
        <f t="shared" si="8"/>
        <v/>
      </c>
      <c r="M70" s="782" t="str">
        <f t="shared" si="9"/>
        <v/>
      </c>
    </row>
    <row r="71" spans="1:13" ht="26.4" customHeight="1">
      <c r="A71" s="783"/>
      <c r="B71" s="783"/>
      <c r="C71" s="784"/>
      <c r="D71" s="784"/>
      <c r="E71" s="785"/>
      <c r="F71" s="784"/>
      <c r="G71" s="785"/>
      <c r="H71" s="784"/>
      <c r="I71" s="806" t="str">
        <f t="shared" si="5"/>
        <v/>
      </c>
      <c r="J71" s="782" t="str">
        <f t="shared" si="6"/>
        <v/>
      </c>
      <c r="K71" s="782" t="str">
        <f t="shared" si="7"/>
        <v/>
      </c>
      <c r="L71" s="782" t="str">
        <f t="shared" si="8"/>
        <v/>
      </c>
      <c r="M71" s="782" t="str">
        <f t="shared" si="9"/>
        <v/>
      </c>
    </row>
    <row r="72" spans="1:13" ht="26.4" customHeight="1">
      <c r="A72" s="783"/>
      <c r="B72" s="783"/>
      <c r="C72" s="784"/>
      <c r="D72" s="784"/>
      <c r="E72" s="785"/>
      <c r="F72" s="784"/>
      <c r="G72" s="785"/>
      <c r="H72" s="784"/>
      <c r="I72" s="806" t="str">
        <f t="shared" si="5"/>
        <v/>
      </c>
      <c r="J72" s="782" t="str">
        <f t="shared" si="6"/>
        <v/>
      </c>
      <c r="K72" s="782" t="str">
        <f t="shared" si="7"/>
        <v/>
      </c>
      <c r="L72" s="782" t="str">
        <f t="shared" si="8"/>
        <v/>
      </c>
      <c r="M72" s="782" t="str">
        <f t="shared" si="9"/>
        <v/>
      </c>
    </row>
    <row r="73" spans="1:13" ht="26.4" customHeight="1">
      <c r="A73" s="783"/>
      <c r="B73" s="783"/>
      <c r="C73" s="784"/>
      <c r="D73" s="784"/>
      <c r="E73" s="785"/>
      <c r="F73" s="784"/>
      <c r="G73" s="785"/>
      <c r="H73" s="784"/>
      <c r="I73" s="806" t="str">
        <f t="shared" si="5"/>
        <v/>
      </c>
      <c r="J73" s="782" t="str">
        <f t="shared" si="6"/>
        <v/>
      </c>
      <c r="K73" s="782" t="str">
        <f t="shared" si="7"/>
        <v/>
      </c>
      <c r="L73" s="782" t="str">
        <f t="shared" si="8"/>
        <v/>
      </c>
      <c r="M73" s="782" t="str">
        <f t="shared" si="9"/>
        <v/>
      </c>
    </row>
    <row r="74" spans="1:13" ht="26.4" customHeight="1">
      <c r="A74" s="783"/>
      <c r="B74" s="783"/>
      <c r="C74" s="784"/>
      <c r="D74" s="784"/>
      <c r="E74" s="785"/>
      <c r="F74" s="785"/>
      <c r="G74" s="785"/>
      <c r="H74" s="784"/>
      <c r="I74" s="806" t="str">
        <f t="shared" si="5"/>
        <v/>
      </c>
      <c r="J74" s="782" t="str">
        <f t="shared" si="6"/>
        <v/>
      </c>
      <c r="K74" s="782" t="str">
        <f t="shared" si="7"/>
        <v/>
      </c>
      <c r="L74" s="782" t="str">
        <f t="shared" si="8"/>
        <v/>
      </c>
      <c r="M74" s="782" t="str">
        <f t="shared" si="9"/>
        <v/>
      </c>
    </row>
    <row r="75" spans="1:13" ht="26.4" customHeight="1">
      <c r="A75" s="783"/>
      <c r="B75" s="783"/>
      <c r="C75" s="784"/>
      <c r="D75" s="784"/>
      <c r="E75" s="785"/>
      <c r="F75" s="784"/>
      <c r="G75" s="785"/>
      <c r="H75" s="784"/>
      <c r="I75" s="806" t="str">
        <f t="shared" si="5"/>
        <v/>
      </c>
      <c r="J75" s="782" t="str">
        <f t="shared" si="6"/>
        <v/>
      </c>
      <c r="K75" s="782" t="str">
        <f t="shared" si="7"/>
        <v/>
      </c>
      <c r="L75" s="782" t="str">
        <f t="shared" si="8"/>
        <v/>
      </c>
      <c r="M75" s="782" t="str">
        <f t="shared" si="9"/>
        <v/>
      </c>
    </row>
    <row r="76" spans="1:13" ht="26.4" customHeight="1">
      <c r="A76" s="783"/>
      <c r="B76" s="783"/>
      <c r="C76" s="784"/>
      <c r="D76" s="784"/>
      <c r="E76" s="785"/>
      <c r="F76" s="784"/>
      <c r="G76" s="785"/>
      <c r="H76" s="784"/>
      <c r="I76" s="806" t="str">
        <f t="shared" si="5"/>
        <v/>
      </c>
      <c r="J76" s="782" t="str">
        <f t="shared" si="6"/>
        <v/>
      </c>
      <c r="K76" s="782" t="str">
        <f t="shared" si="7"/>
        <v/>
      </c>
      <c r="L76" s="782" t="str">
        <f t="shared" si="8"/>
        <v/>
      </c>
      <c r="M76" s="782" t="str">
        <f t="shared" si="9"/>
        <v/>
      </c>
    </row>
    <row r="77" spans="1:13" ht="26.4" customHeight="1">
      <c r="A77" s="783"/>
      <c r="B77" s="783"/>
      <c r="C77" s="784"/>
      <c r="D77" s="784"/>
      <c r="E77" s="785"/>
      <c r="F77" s="784"/>
      <c r="G77" s="785"/>
      <c r="H77" s="784"/>
      <c r="I77" s="806" t="str">
        <f t="shared" si="5"/>
        <v/>
      </c>
      <c r="J77" s="782" t="str">
        <f t="shared" si="6"/>
        <v/>
      </c>
      <c r="K77" s="782" t="str">
        <f t="shared" si="7"/>
        <v/>
      </c>
      <c r="L77" s="782" t="str">
        <f t="shared" si="8"/>
        <v/>
      </c>
      <c r="M77" s="782" t="str">
        <f t="shared" si="9"/>
        <v/>
      </c>
    </row>
    <row r="78" spans="1:13" ht="26.4" customHeight="1">
      <c r="A78" s="783"/>
      <c r="B78" s="783"/>
      <c r="C78" s="784"/>
      <c r="D78" s="784"/>
      <c r="E78" s="785"/>
      <c r="F78" s="784"/>
      <c r="G78" s="785"/>
      <c r="H78" s="784"/>
      <c r="I78" s="806" t="str">
        <f t="shared" si="5"/>
        <v/>
      </c>
      <c r="J78" s="782" t="str">
        <f t="shared" si="6"/>
        <v/>
      </c>
      <c r="K78" s="782" t="str">
        <f t="shared" si="7"/>
        <v/>
      </c>
      <c r="L78" s="782" t="str">
        <f t="shared" si="8"/>
        <v/>
      </c>
      <c r="M78" s="782" t="str">
        <f t="shared" si="9"/>
        <v/>
      </c>
    </row>
    <row r="79" spans="1:13" ht="26.4" customHeight="1">
      <c r="A79" s="783"/>
      <c r="B79" s="783"/>
      <c r="C79" s="784"/>
      <c r="D79" s="784"/>
      <c r="E79" s="785"/>
      <c r="F79" s="784"/>
      <c r="G79" s="785"/>
      <c r="H79" s="784"/>
      <c r="I79" s="806" t="str">
        <f t="shared" si="5"/>
        <v/>
      </c>
      <c r="J79" s="782" t="str">
        <f t="shared" si="6"/>
        <v/>
      </c>
      <c r="K79" s="782" t="str">
        <f t="shared" si="7"/>
        <v/>
      </c>
      <c r="L79" s="782" t="str">
        <f t="shared" si="8"/>
        <v/>
      </c>
      <c r="M79" s="782" t="str">
        <f t="shared" si="9"/>
        <v/>
      </c>
    </row>
    <row r="80" spans="1:13" ht="26.4" customHeight="1">
      <c r="A80" s="783"/>
      <c r="B80" s="783"/>
      <c r="C80" s="784"/>
      <c r="D80" s="784"/>
      <c r="E80" s="785"/>
      <c r="F80" s="784"/>
      <c r="G80" s="785"/>
      <c r="H80" s="784"/>
      <c r="I80" s="806" t="str">
        <f t="shared" si="5"/>
        <v/>
      </c>
      <c r="J80" s="782" t="str">
        <f t="shared" si="6"/>
        <v/>
      </c>
      <c r="K80" s="782" t="str">
        <f t="shared" si="7"/>
        <v/>
      </c>
      <c r="L80" s="782" t="str">
        <f t="shared" si="8"/>
        <v/>
      </c>
      <c r="M80" s="782" t="str">
        <f t="shared" si="9"/>
        <v/>
      </c>
    </row>
    <row r="81" spans="1:13" ht="26.4" customHeight="1">
      <c r="A81" s="783"/>
      <c r="B81" s="783"/>
      <c r="C81" s="784"/>
      <c r="D81" s="784"/>
      <c r="E81" s="785"/>
      <c r="F81" s="784"/>
      <c r="G81" s="785"/>
      <c r="H81" s="784"/>
      <c r="I81" s="806" t="str">
        <f t="shared" si="5"/>
        <v/>
      </c>
      <c r="J81" s="782" t="str">
        <f t="shared" si="6"/>
        <v/>
      </c>
      <c r="K81" s="782" t="str">
        <f t="shared" si="7"/>
        <v/>
      </c>
      <c r="L81" s="782" t="str">
        <f t="shared" si="8"/>
        <v/>
      </c>
      <c r="M81" s="782" t="str">
        <f t="shared" si="9"/>
        <v/>
      </c>
    </row>
    <row r="82" spans="1:13" ht="26.4" customHeight="1">
      <c r="A82" s="783"/>
      <c r="B82" s="783"/>
      <c r="C82" s="784"/>
      <c r="D82" s="784"/>
      <c r="E82" s="785"/>
      <c r="F82" s="784"/>
      <c r="G82" s="785"/>
      <c r="H82" s="784"/>
      <c r="I82" s="806" t="str">
        <f t="shared" si="5"/>
        <v/>
      </c>
      <c r="J82" s="782" t="str">
        <f t="shared" si="6"/>
        <v/>
      </c>
      <c r="K82" s="782" t="str">
        <f t="shared" si="7"/>
        <v/>
      </c>
      <c r="L82" s="782" t="str">
        <f t="shared" si="8"/>
        <v/>
      </c>
      <c r="M82" s="782" t="str">
        <f t="shared" si="9"/>
        <v/>
      </c>
    </row>
    <row r="83" spans="1:13" ht="26.4" customHeight="1">
      <c r="A83" s="783"/>
      <c r="B83" s="783"/>
      <c r="C83" s="784"/>
      <c r="D83" s="784"/>
      <c r="E83" s="785"/>
      <c r="F83" s="784"/>
      <c r="G83" s="785"/>
      <c r="H83" s="784"/>
      <c r="I83" s="806" t="str">
        <f t="shared" si="5"/>
        <v/>
      </c>
      <c r="J83" s="782" t="str">
        <f t="shared" si="6"/>
        <v/>
      </c>
      <c r="K83" s="782" t="str">
        <f t="shared" si="7"/>
        <v/>
      </c>
      <c r="L83" s="782" t="str">
        <f t="shared" si="8"/>
        <v/>
      </c>
      <c r="M83" s="782" t="str">
        <f t="shared" si="9"/>
        <v/>
      </c>
    </row>
    <row r="84" spans="1:13" ht="26.4" customHeight="1">
      <c r="A84" s="783"/>
      <c r="B84" s="783"/>
      <c r="C84" s="784"/>
      <c r="D84" s="784"/>
      <c r="E84" s="785"/>
      <c r="F84" s="784"/>
      <c r="G84" s="785"/>
      <c r="H84" s="784"/>
      <c r="I84" s="806" t="str">
        <f t="shared" si="5"/>
        <v/>
      </c>
      <c r="J84" s="782" t="str">
        <f t="shared" si="6"/>
        <v/>
      </c>
      <c r="K84" s="782" t="str">
        <f t="shared" si="7"/>
        <v/>
      </c>
      <c r="L84" s="782" t="str">
        <f t="shared" si="8"/>
        <v/>
      </c>
      <c r="M84" s="782" t="str">
        <f t="shared" si="9"/>
        <v/>
      </c>
    </row>
    <row r="85" spans="1:13" ht="26.4" customHeight="1">
      <c r="A85" s="783"/>
      <c r="B85" s="783"/>
      <c r="C85" s="784"/>
      <c r="D85" s="784"/>
      <c r="E85" s="785"/>
      <c r="F85" s="784"/>
      <c r="G85" s="785"/>
      <c r="H85" s="784"/>
      <c r="I85" s="806" t="str">
        <f t="shared" si="5"/>
        <v/>
      </c>
      <c r="J85" s="782" t="str">
        <f t="shared" si="6"/>
        <v/>
      </c>
      <c r="K85" s="782" t="str">
        <f t="shared" si="7"/>
        <v/>
      </c>
      <c r="L85" s="782" t="str">
        <f t="shared" si="8"/>
        <v/>
      </c>
      <c r="M85" s="782" t="str">
        <f t="shared" si="9"/>
        <v/>
      </c>
    </row>
    <row r="86" spans="1:13" ht="26.4" customHeight="1">
      <c r="A86" s="783"/>
      <c r="B86" s="783"/>
      <c r="C86" s="784"/>
      <c r="D86" s="784"/>
      <c r="E86" s="785"/>
      <c r="F86" s="784"/>
      <c r="G86" s="785"/>
      <c r="H86" s="784"/>
      <c r="I86" s="806" t="str">
        <f t="shared" si="5"/>
        <v/>
      </c>
      <c r="J86" s="782" t="str">
        <f t="shared" si="6"/>
        <v/>
      </c>
      <c r="K86" s="782" t="str">
        <f t="shared" si="7"/>
        <v/>
      </c>
      <c r="L86" s="782" t="str">
        <f t="shared" si="8"/>
        <v/>
      </c>
      <c r="M86" s="782" t="str">
        <f t="shared" si="9"/>
        <v/>
      </c>
    </row>
    <row r="87" spans="1:13" ht="26.4" customHeight="1">
      <c r="A87" s="783"/>
      <c r="B87" s="783"/>
      <c r="C87" s="784"/>
      <c r="D87" s="784"/>
      <c r="E87" s="785"/>
      <c r="F87" s="784"/>
      <c r="G87" s="785"/>
      <c r="H87" s="784"/>
      <c r="I87" s="806" t="str">
        <f t="shared" si="5"/>
        <v/>
      </c>
      <c r="J87" s="782" t="str">
        <f t="shared" si="6"/>
        <v/>
      </c>
      <c r="K87" s="782" t="str">
        <f t="shared" si="7"/>
        <v/>
      </c>
      <c r="L87" s="782" t="str">
        <f t="shared" si="8"/>
        <v/>
      </c>
      <c r="M87" s="782" t="str">
        <f t="shared" si="9"/>
        <v/>
      </c>
    </row>
    <row r="88" spans="1:13" ht="26.4" customHeight="1">
      <c r="A88" s="783"/>
      <c r="B88" s="783"/>
      <c r="C88" s="784"/>
      <c r="D88" s="784"/>
      <c r="E88" s="785"/>
      <c r="F88" s="784"/>
      <c r="G88" s="785"/>
      <c r="H88" s="784"/>
      <c r="I88" s="806" t="str">
        <f t="shared" si="5"/>
        <v/>
      </c>
      <c r="J88" s="782" t="str">
        <f t="shared" si="6"/>
        <v/>
      </c>
      <c r="K88" s="782" t="str">
        <f t="shared" si="7"/>
        <v/>
      </c>
      <c r="L88" s="782" t="str">
        <f t="shared" si="8"/>
        <v/>
      </c>
      <c r="M88" s="782" t="str">
        <f t="shared" si="9"/>
        <v/>
      </c>
    </row>
    <row r="89" spans="1:13" ht="26.4" customHeight="1">
      <c r="A89" s="783"/>
      <c r="B89" s="783"/>
      <c r="C89" s="784"/>
      <c r="D89" s="784"/>
      <c r="E89" s="785"/>
      <c r="F89" s="784"/>
      <c r="G89" s="785"/>
      <c r="H89" s="784"/>
      <c r="I89" s="806" t="str">
        <f t="shared" si="5"/>
        <v/>
      </c>
      <c r="J89" s="782" t="str">
        <f t="shared" si="6"/>
        <v/>
      </c>
      <c r="K89" s="782" t="str">
        <f t="shared" si="7"/>
        <v/>
      </c>
      <c r="L89" s="782" t="str">
        <f t="shared" si="8"/>
        <v/>
      </c>
      <c r="M89" s="782" t="str">
        <f t="shared" si="9"/>
        <v/>
      </c>
    </row>
    <row r="90" spans="1:13" ht="26.4" customHeight="1">
      <c r="A90" s="783"/>
      <c r="B90" s="783"/>
      <c r="C90" s="784"/>
      <c r="D90" s="784"/>
      <c r="E90" s="785"/>
      <c r="F90" s="784"/>
      <c r="G90" s="785"/>
      <c r="H90" s="784"/>
      <c r="I90" s="806" t="str">
        <f t="shared" si="5"/>
        <v/>
      </c>
      <c r="J90" s="782" t="str">
        <f t="shared" si="6"/>
        <v/>
      </c>
      <c r="K90" s="782" t="str">
        <f t="shared" si="7"/>
        <v/>
      </c>
      <c r="L90" s="782" t="str">
        <f t="shared" si="8"/>
        <v/>
      </c>
      <c r="M90" s="782" t="str">
        <f t="shared" si="9"/>
        <v/>
      </c>
    </row>
    <row r="91" spans="1:13" ht="26.4" customHeight="1">
      <c r="A91" s="783"/>
      <c r="B91" s="783"/>
      <c r="C91" s="784"/>
      <c r="D91" s="784"/>
      <c r="E91" s="785"/>
      <c r="F91" s="784"/>
      <c r="G91" s="785"/>
      <c r="H91" s="784"/>
      <c r="I91" s="806" t="str">
        <f t="shared" si="5"/>
        <v/>
      </c>
      <c r="J91" s="782" t="str">
        <f t="shared" si="6"/>
        <v/>
      </c>
      <c r="K91" s="782" t="str">
        <f t="shared" si="7"/>
        <v/>
      </c>
      <c r="L91" s="782" t="str">
        <f t="shared" si="8"/>
        <v/>
      </c>
      <c r="M91" s="782" t="str">
        <f t="shared" si="9"/>
        <v/>
      </c>
    </row>
    <row r="92" spans="1:13" ht="26.4" customHeight="1">
      <c r="A92" s="783"/>
      <c r="B92" s="783"/>
      <c r="C92" s="784"/>
      <c r="D92" s="784"/>
      <c r="E92" s="785"/>
      <c r="F92" s="784"/>
      <c r="G92" s="785"/>
      <c r="H92" s="784"/>
      <c r="I92" s="806" t="str">
        <f t="shared" si="5"/>
        <v/>
      </c>
      <c r="J92" s="782" t="str">
        <f t="shared" si="6"/>
        <v/>
      </c>
      <c r="K92" s="782" t="str">
        <f t="shared" si="7"/>
        <v/>
      </c>
      <c r="L92" s="782" t="str">
        <f t="shared" si="8"/>
        <v/>
      </c>
      <c r="M92" s="782" t="str">
        <f t="shared" si="9"/>
        <v/>
      </c>
    </row>
    <row r="93" spans="1:13" ht="26.4" customHeight="1">
      <c r="A93" s="783"/>
      <c r="B93" s="783"/>
      <c r="C93" s="784"/>
      <c r="D93" s="784"/>
      <c r="E93" s="785"/>
      <c r="F93" s="784"/>
      <c r="G93" s="785"/>
      <c r="H93" s="784"/>
      <c r="I93" s="806" t="str">
        <f t="shared" si="5"/>
        <v/>
      </c>
      <c r="J93" s="782" t="str">
        <f t="shared" si="6"/>
        <v/>
      </c>
      <c r="K93" s="782" t="str">
        <f t="shared" si="7"/>
        <v/>
      </c>
      <c r="L93" s="782" t="str">
        <f t="shared" si="8"/>
        <v/>
      </c>
      <c r="M93" s="782" t="str">
        <f t="shared" si="9"/>
        <v/>
      </c>
    </row>
    <row r="94" spans="1:13" ht="26.4" customHeight="1">
      <c r="A94" s="783"/>
      <c r="B94" s="783"/>
      <c r="C94" s="784"/>
      <c r="D94" s="784"/>
      <c r="E94" s="785"/>
      <c r="F94" s="784"/>
      <c r="G94" s="785"/>
      <c r="H94" s="784"/>
      <c r="I94" s="806" t="str">
        <f t="shared" si="5"/>
        <v/>
      </c>
      <c r="J94" s="782" t="str">
        <f t="shared" si="6"/>
        <v/>
      </c>
      <c r="K94" s="782" t="str">
        <f t="shared" si="7"/>
        <v/>
      </c>
      <c r="L94" s="782" t="str">
        <f t="shared" si="8"/>
        <v/>
      </c>
      <c r="M94" s="782" t="str">
        <f t="shared" si="9"/>
        <v/>
      </c>
    </row>
    <row r="95" spans="1:13" ht="26.4" customHeight="1">
      <c r="A95" s="783"/>
      <c r="B95" s="783"/>
      <c r="C95" s="784"/>
      <c r="D95" s="784"/>
      <c r="E95" s="785"/>
      <c r="F95" s="784"/>
      <c r="G95" s="785"/>
      <c r="H95" s="784"/>
      <c r="I95" s="806" t="str">
        <f t="shared" si="5"/>
        <v/>
      </c>
      <c r="J95" s="782" t="str">
        <f t="shared" si="6"/>
        <v/>
      </c>
      <c r="K95" s="782" t="str">
        <f t="shared" si="7"/>
        <v/>
      </c>
      <c r="L95" s="782" t="str">
        <f t="shared" si="8"/>
        <v/>
      </c>
      <c r="M95" s="782" t="str">
        <f t="shared" si="9"/>
        <v/>
      </c>
    </row>
    <row r="96" spans="1:13" ht="26.4" customHeight="1">
      <c r="A96" s="783"/>
      <c r="B96" s="783"/>
      <c r="C96" s="784"/>
      <c r="D96" s="784"/>
      <c r="E96" s="785"/>
      <c r="F96" s="784"/>
      <c r="G96" s="785"/>
      <c r="H96" s="784"/>
      <c r="I96" s="806" t="str">
        <f t="shared" si="5"/>
        <v/>
      </c>
      <c r="J96" s="782" t="str">
        <f t="shared" si="6"/>
        <v/>
      </c>
      <c r="K96" s="782" t="str">
        <f t="shared" si="7"/>
        <v/>
      </c>
      <c r="L96" s="782" t="str">
        <f t="shared" si="8"/>
        <v/>
      </c>
      <c r="M96" s="782" t="str">
        <f t="shared" si="9"/>
        <v/>
      </c>
    </row>
    <row r="97" spans="1:13" ht="26.4" customHeight="1">
      <c r="A97" s="783"/>
      <c r="B97" s="783"/>
      <c r="C97" s="784"/>
      <c r="D97" s="784"/>
      <c r="E97" s="785"/>
      <c r="F97" s="784"/>
      <c r="G97" s="785"/>
      <c r="H97" s="784"/>
      <c r="I97" s="806" t="str">
        <f t="shared" si="5"/>
        <v/>
      </c>
      <c r="J97" s="782" t="str">
        <f t="shared" si="6"/>
        <v/>
      </c>
      <c r="K97" s="782" t="str">
        <f t="shared" si="7"/>
        <v/>
      </c>
      <c r="L97" s="782" t="str">
        <f t="shared" si="8"/>
        <v/>
      </c>
      <c r="M97" s="782" t="str">
        <f t="shared" si="9"/>
        <v/>
      </c>
    </row>
    <row r="98" spans="1:13" ht="26.4" customHeight="1">
      <c r="A98" s="783"/>
      <c r="B98" s="783"/>
      <c r="C98" s="784"/>
      <c r="D98" s="784"/>
      <c r="E98" s="785"/>
      <c r="F98" s="784"/>
      <c r="G98" s="785"/>
      <c r="H98" s="784"/>
      <c r="I98" s="806" t="str">
        <f t="shared" si="5"/>
        <v/>
      </c>
      <c r="J98" s="782" t="str">
        <f t="shared" si="6"/>
        <v/>
      </c>
      <c r="K98" s="782" t="str">
        <f t="shared" si="7"/>
        <v/>
      </c>
      <c r="L98" s="782" t="str">
        <f t="shared" si="8"/>
        <v/>
      </c>
      <c r="M98" s="782" t="str">
        <f t="shared" si="9"/>
        <v/>
      </c>
    </row>
    <row r="99" spans="1:13" ht="26.4" customHeight="1">
      <c r="A99" s="783"/>
      <c r="B99" s="783"/>
      <c r="C99" s="784"/>
      <c r="D99" s="784"/>
      <c r="E99" s="785"/>
      <c r="F99" s="784"/>
      <c r="G99" s="785"/>
      <c r="H99" s="784"/>
      <c r="I99" s="806" t="str">
        <f t="shared" si="5"/>
        <v/>
      </c>
      <c r="J99" s="782" t="str">
        <f t="shared" si="6"/>
        <v/>
      </c>
      <c r="K99" s="782" t="str">
        <f t="shared" si="7"/>
        <v/>
      </c>
      <c r="L99" s="782" t="str">
        <f t="shared" si="8"/>
        <v/>
      </c>
      <c r="M99" s="782" t="str">
        <f t="shared" si="9"/>
        <v/>
      </c>
    </row>
    <row r="100" spans="1:13" ht="26.4" customHeight="1">
      <c r="A100" s="783"/>
      <c r="B100" s="783"/>
      <c r="C100" s="784"/>
      <c r="D100" s="784"/>
      <c r="E100" s="785"/>
      <c r="F100" s="785"/>
      <c r="G100" s="785"/>
      <c r="H100" s="784"/>
      <c r="I100" s="806" t="str">
        <f t="shared" si="5"/>
        <v/>
      </c>
      <c r="J100" s="782" t="str">
        <f t="shared" si="6"/>
        <v/>
      </c>
      <c r="K100" s="782" t="str">
        <f t="shared" si="7"/>
        <v/>
      </c>
      <c r="L100" s="782" t="str">
        <f t="shared" si="8"/>
        <v/>
      </c>
      <c r="M100" s="782" t="str">
        <f t="shared" si="9"/>
        <v/>
      </c>
    </row>
    <row r="101" spans="1:13" ht="26.4" customHeight="1">
      <c r="A101" s="783"/>
      <c r="B101" s="783"/>
      <c r="C101" s="784"/>
      <c r="D101" s="784"/>
      <c r="E101" s="785"/>
      <c r="F101" s="784"/>
      <c r="G101" s="785"/>
      <c r="H101" s="784"/>
      <c r="I101" s="806" t="str">
        <f t="shared" si="5"/>
        <v/>
      </c>
      <c r="J101" s="782" t="str">
        <f t="shared" si="6"/>
        <v/>
      </c>
      <c r="K101" s="782" t="str">
        <f t="shared" si="7"/>
        <v/>
      </c>
      <c r="L101" s="782" t="str">
        <f t="shared" si="8"/>
        <v/>
      </c>
      <c r="M101" s="782" t="str">
        <f t="shared" si="9"/>
        <v/>
      </c>
    </row>
    <row r="102" spans="1:13" ht="26.4" customHeight="1">
      <c r="A102" s="783"/>
      <c r="B102" s="783"/>
      <c r="C102" s="784"/>
      <c r="D102" s="784"/>
      <c r="E102" s="785"/>
      <c r="F102" s="784"/>
      <c r="G102" s="785"/>
      <c r="H102" s="784"/>
      <c r="I102" s="806" t="str">
        <f t="shared" si="5"/>
        <v/>
      </c>
      <c r="J102" s="782" t="str">
        <f t="shared" si="6"/>
        <v/>
      </c>
      <c r="K102" s="782" t="str">
        <f t="shared" si="7"/>
        <v/>
      </c>
      <c r="L102" s="782" t="str">
        <f t="shared" si="8"/>
        <v/>
      </c>
      <c r="M102" s="782" t="str">
        <f t="shared" si="9"/>
        <v/>
      </c>
    </row>
    <row r="103" spans="1:13" ht="26.4" customHeight="1">
      <c r="A103" s="783"/>
      <c r="B103" s="783"/>
      <c r="C103" s="784"/>
      <c r="D103" s="784"/>
      <c r="E103" s="785"/>
      <c r="F103" s="784"/>
      <c r="G103" s="785"/>
      <c r="H103" s="784"/>
      <c r="I103" s="806" t="str">
        <f t="shared" si="5"/>
        <v/>
      </c>
      <c r="J103" s="782" t="str">
        <f t="shared" si="6"/>
        <v/>
      </c>
      <c r="K103" s="782" t="str">
        <f t="shared" si="7"/>
        <v/>
      </c>
      <c r="L103" s="782" t="str">
        <f t="shared" si="8"/>
        <v/>
      </c>
      <c r="M103" s="782" t="str">
        <f t="shared" si="9"/>
        <v/>
      </c>
    </row>
    <row r="104" spans="1:13" ht="26.4" customHeight="1">
      <c r="A104" s="783"/>
      <c r="B104" s="783"/>
      <c r="C104" s="784"/>
      <c r="D104" s="784"/>
      <c r="E104" s="785"/>
      <c r="F104" s="784"/>
      <c r="G104" s="785"/>
      <c r="H104" s="784"/>
      <c r="I104" s="806" t="str">
        <f t="shared" si="5"/>
        <v/>
      </c>
      <c r="J104" s="782" t="str">
        <f t="shared" si="6"/>
        <v/>
      </c>
      <c r="K104" s="782" t="str">
        <f t="shared" si="7"/>
        <v/>
      </c>
      <c r="L104" s="782" t="str">
        <f t="shared" si="8"/>
        <v/>
      </c>
      <c r="M104" s="782" t="str">
        <f t="shared" si="9"/>
        <v/>
      </c>
    </row>
    <row r="105" spans="1:13" ht="26.4" customHeight="1">
      <c r="A105" s="783"/>
      <c r="B105" s="783"/>
      <c r="C105" s="784"/>
      <c r="D105" s="784"/>
      <c r="E105" s="785"/>
      <c r="F105" s="784"/>
      <c r="G105" s="785"/>
      <c r="H105" s="784"/>
      <c r="I105" s="806" t="str">
        <f t="shared" si="5"/>
        <v/>
      </c>
      <c r="J105" s="782" t="str">
        <f t="shared" si="6"/>
        <v/>
      </c>
      <c r="K105" s="782" t="str">
        <f t="shared" si="7"/>
        <v/>
      </c>
      <c r="L105" s="782" t="str">
        <f t="shared" si="8"/>
        <v/>
      </c>
      <c r="M105" s="782" t="str">
        <f t="shared" si="9"/>
        <v/>
      </c>
    </row>
    <row r="106" spans="1:13" ht="26.4" customHeight="1">
      <c r="A106" s="783"/>
      <c r="B106" s="783"/>
      <c r="C106" s="784"/>
      <c r="D106" s="784"/>
      <c r="E106" s="785"/>
      <c r="F106" s="784"/>
      <c r="G106" s="785"/>
      <c r="H106" s="784"/>
      <c r="I106" s="806" t="str">
        <f t="shared" si="5"/>
        <v/>
      </c>
      <c r="J106" s="782" t="str">
        <f t="shared" si="6"/>
        <v/>
      </c>
      <c r="K106" s="782" t="str">
        <f t="shared" si="7"/>
        <v/>
      </c>
      <c r="L106" s="782" t="str">
        <f t="shared" si="8"/>
        <v/>
      </c>
      <c r="M106" s="782" t="str">
        <f t="shared" si="9"/>
        <v/>
      </c>
    </row>
    <row r="107" spans="1:13" ht="26.4" customHeight="1">
      <c r="A107" s="783"/>
      <c r="B107" s="783"/>
      <c r="C107" s="784"/>
      <c r="D107" s="784"/>
      <c r="E107" s="785"/>
      <c r="F107" s="784"/>
      <c r="G107" s="785"/>
      <c r="H107" s="784"/>
      <c r="I107" s="806" t="str">
        <f t="shared" si="5"/>
        <v/>
      </c>
      <c r="J107" s="782" t="str">
        <f t="shared" si="6"/>
        <v/>
      </c>
      <c r="K107" s="782" t="str">
        <f t="shared" si="7"/>
        <v/>
      </c>
      <c r="L107" s="782" t="str">
        <f t="shared" si="8"/>
        <v/>
      </c>
      <c r="M107" s="782" t="str">
        <f t="shared" si="9"/>
        <v/>
      </c>
    </row>
    <row r="108" spans="1:13" ht="26.4" customHeight="1">
      <c r="A108" s="783"/>
      <c r="B108" s="783"/>
      <c r="C108" s="784"/>
      <c r="D108" s="784"/>
      <c r="E108" s="785"/>
      <c r="F108" s="784"/>
      <c r="G108" s="785"/>
      <c r="H108" s="784"/>
      <c r="I108" s="806" t="str">
        <f t="shared" si="5"/>
        <v/>
      </c>
      <c r="J108" s="782" t="str">
        <f t="shared" si="6"/>
        <v/>
      </c>
      <c r="K108" s="782" t="str">
        <f t="shared" si="7"/>
        <v/>
      </c>
      <c r="L108" s="782" t="str">
        <f t="shared" si="8"/>
        <v/>
      </c>
      <c r="M108" s="782" t="str">
        <f t="shared" si="9"/>
        <v/>
      </c>
    </row>
    <row r="109" spans="1:13" ht="26.4" customHeight="1">
      <c r="A109" s="783"/>
      <c r="B109" s="783"/>
      <c r="C109" s="784"/>
      <c r="D109" s="784"/>
      <c r="E109" s="785"/>
      <c r="F109" s="784"/>
      <c r="G109" s="785"/>
      <c r="H109" s="784"/>
      <c r="I109" s="806" t="str">
        <f t="shared" si="5"/>
        <v/>
      </c>
      <c r="J109" s="782" t="str">
        <f t="shared" si="6"/>
        <v/>
      </c>
      <c r="K109" s="782" t="str">
        <f t="shared" si="7"/>
        <v/>
      </c>
      <c r="L109" s="782" t="str">
        <f t="shared" si="8"/>
        <v/>
      </c>
      <c r="M109" s="782" t="str">
        <f t="shared" si="9"/>
        <v/>
      </c>
    </row>
    <row r="110" spans="1:13" ht="26.4" customHeight="1">
      <c r="A110" s="783"/>
      <c r="B110" s="783"/>
      <c r="C110" s="784"/>
      <c r="D110" s="784"/>
      <c r="E110" s="785"/>
      <c r="F110" s="784"/>
      <c r="G110" s="785"/>
      <c r="H110" s="784"/>
      <c r="I110" s="806" t="str">
        <f t="shared" si="5"/>
        <v/>
      </c>
      <c r="J110" s="782" t="str">
        <f t="shared" si="6"/>
        <v/>
      </c>
      <c r="K110" s="782" t="str">
        <f t="shared" si="7"/>
        <v/>
      </c>
      <c r="L110" s="782" t="str">
        <f t="shared" si="8"/>
        <v/>
      </c>
      <c r="M110" s="782" t="str">
        <f t="shared" si="9"/>
        <v/>
      </c>
    </row>
    <row r="111" spans="1:13" ht="26.4" customHeight="1">
      <c r="A111" s="783"/>
      <c r="B111" s="783"/>
      <c r="C111" s="784"/>
      <c r="D111" s="784"/>
      <c r="E111" s="785"/>
      <c r="F111" s="784"/>
      <c r="G111" s="785"/>
      <c r="H111" s="784"/>
      <c r="I111" s="806" t="str">
        <f t="shared" si="5"/>
        <v/>
      </c>
      <c r="J111" s="782" t="str">
        <f t="shared" si="6"/>
        <v/>
      </c>
      <c r="K111" s="782" t="str">
        <f t="shared" si="7"/>
        <v/>
      </c>
      <c r="L111" s="782" t="str">
        <f t="shared" si="8"/>
        <v/>
      </c>
      <c r="M111" s="782" t="str">
        <f t="shared" si="9"/>
        <v/>
      </c>
    </row>
    <row r="112" spans="1:13" ht="26.4" customHeight="1">
      <c r="A112" s="783"/>
      <c r="B112" s="783"/>
      <c r="C112" s="784"/>
      <c r="D112" s="784"/>
      <c r="E112" s="785"/>
      <c r="F112" s="784"/>
      <c r="G112" s="785"/>
      <c r="H112" s="784"/>
      <c r="I112" s="806" t="str">
        <f t="shared" si="5"/>
        <v/>
      </c>
      <c r="J112" s="782" t="str">
        <f t="shared" si="6"/>
        <v/>
      </c>
      <c r="K112" s="782" t="str">
        <f t="shared" si="7"/>
        <v/>
      </c>
      <c r="L112" s="782" t="str">
        <f t="shared" si="8"/>
        <v/>
      </c>
      <c r="M112" s="782" t="str">
        <f t="shared" si="9"/>
        <v/>
      </c>
    </row>
    <row r="113" spans="1:13" ht="26.4" customHeight="1">
      <c r="A113" s="783"/>
      <c r="B113" s="783"/>
      <c r="C113" s="784"/>
      <c r="D113" s="784"/>
      <c r="E113" s="785"/>
      <c r="F113" s="784"/>
      <c r="G113" s="785"/>
      <c r="H113" s="784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26.4" customHeight="1">
      <c r="A114" s="783"/>
      <c r="B114" s="783"/>
      <c r="C114" s="784"/>
      <c r="D114" s="784"/>
      <c r="E114" s="785"/>
      <c r="F114" s="784"/>
      <c r="G114" s="785"/>
      <c r="H114" s="784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26.4" customHeight="1">
      <c r="A115" s="783"/>
      <c r="B115" s="783"/>
      <c r="C115" s="784"/>
      <c r="D115" s="784"/>
      <c r="E115" s="785"/>
      <c r="F115" s="784"/>
      <c r="G115" s="785"/>
      <c r="H115" s="784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26.4" customHeight="1">
      <c r="A116" s="783"/>
      <c r="B116" s="783"/>
      <c r="C116" s="784"/>
      <c r="D116" s="784"/>
      <c r="E116" s="785"/>
      <c r="F116" s="784"/>
      <c r="G116" s="785"/>
      <c r="H116" s="784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26.4" customHeight="1">
      <c r="A117" s="783"/>
      <c r="B117" s="783"/>
      <c r="C117" s="784"/>
      <c r="D117" s="784"/>
      <c r="E117" s="785"/>
      <c r="F117" s="785"/>
      <c r="G117" s="784"/>
      <c r="H117" s="784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26.4" customHeight="1">
      <c r="A118" s="783"/>
      <c r="B118" s="783"/>
      <c r="C118" s="784"/>
      <c r="D118" s="784"/>
      <c r="E118" s="785"/>
      <c r="F118" s="784"/>
      <c r="G118" s="785"/>
      <c r="H118" s="784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26.4" customHeight="1">
      <c r="A119" s="783"/>
      <c r="B119" s="783"/>
      <c r="C119" s="784"/>
      <c r="D119" s="784"/>
      <c r="E119" s="785"/>
      <c r="F119" s="784"/>
      <c r="G119" s="785"/>
      <c r="H119" s="784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26.4" customHeight="1">
      <c r="A120" s="783"/>
      <c r="B120" s="783"/>
      <c r="C120" s="784"/>
      <c r="D120" s="784"/>
      <c r="E120" s="785"/>
      <c r="F120" s="784"/>
      <c r="G120" s="785"/>
      <c r="H120" s="784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26.4" customHeight="1">
      <c r="A121" s="783"/>
      <c r="B121" s="783"/>
      <c r="C121" s="784"/>
      <c r="D121" s="784"/>
      <c r="E121" s="785"/>
      <c r="F121" s="784"/>
      <c r="G121" s="785"/>
      <c r="H121" s="784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26.4" customHeight="1">
      <c r="A122" s="783"/>
      <c r="B122" s="783"/>
      <c r="C122" s="784"/>
      <c r="D122" s="784"/>
      <c r="E122" s="785"/>
      <c r="F122" s="784"/>
      <c r="G122" s="785"/>
      <c r="H122" s="784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26.4" customHeight="1">
      <c r="A123" s="783"/>
      <c r="B123" s="783"/>
      <c r="C123" s="784"/>
      <c r="D123" s="784"/>
      <c r="E123" s="785"/>
      <c r="F123" s="784"/>
      <c r="G123" s="785"/>
      <c r="H123" s="784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26.4" customHeight="1">
      <c r="A124" s="783"/>
      <c r="B124" s="783"/>
      <c r="C124" s="784"/>
      <c r="D124" s="784"/>
      <c r="E124" s="785"/>
      <c r="F124" s="784"/>
      <c r="G124" s="785"/>
      <c r="H124" s="784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26.4" customHeight="1">
      <c r="A125" s="783"/>
      <c r="B125" s="783"/>
      <c r="C125" s="784"/>
      <c r="D125" s="784"/>
      <c r="E125" s="785"/>
      <c r="F125" s="784"/>
      <c r="G125" s="785"/>
      <c r="H125" s="784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26.4" customHeight="1">
      <c r="A126" s="783"/>
      <c r="B126" s="783"/>
      <c r="C126" s="784"/>
      <c r="D126" s="784"/>
      <c r="E126" s="785"/>
      <c r="F126" s="784"/>
      <c r="G126" s="785"/>
      <c r="H126" s="784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26.4" customHeight="1">
      <c r="A127" s="783"/>
      <c r="B127" s="783"/>
      <c r="C127" s="784"/>
      <c r="D127" s="784"/>
      <c r="E127" s="785"/>
      <c r="F127" s="784"/>
      <c r="G127" s="785"/>
      <c r="H127" s="784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26.4" customHeight="1">
      <c r="A128" s="783"/>
      <c r="B128" s="783"/>
      <c r="C128" s="784"/>
      <c r="D128" s="784"/>
      <c r="E128" s="784"/>
      <c r="F128" s="785"/>
      <c r="G128" s="784"/>
      <c r="H128" s="785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26.4" customHeight="1">
      <c r="A129" s="783"/>
      <c r="B129" s="783"/>
      <c r="C129" s="784"/>
      <c r="D129" s="784"/>
      <c r="E129" s="785"/>
      <c r="F129" s="784"/>
      <c r="G129" s="785"/>
      <c r="H129" s="784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/>
      <c r="B2" s="795"/>
      <c r="C2" s="796"/>
      <c r="D2" s="797"/>
      <c r="E2" s="796"/>
      <c r="F2" s="796"/>
      <c r="G2" s="796"/>
      <c r="H2" s="797"/>
      <c r="I2" s="805" t="str">
        <f>LEFT(A2,2)</f>
        <v/>
      </c>
      <c r="J2" s="782" t="str">
        <f>LEFT(A2,3)</f>
        <v/>
      </c>
      <c r="K2" s="782" t="str">
        <f>LEFT(A2,4)</f>
        <v/>
      </c>
      <c r="L2" s="782" t="str">
        <f>LEFT(A2,5)</f>
        <v/>
      </c>
      <c r="M2" s="782" t="str">
        <f>LEFT(A2,1)</f>
        <v/>
      </c>
    </row>
    <row r="3" spans="1:13" ht="13.2">
      <c r="A3" s="795"/>
      <c r="B3" s="795"/>
      <c r="C3" s="796"/>
      <c r="D3" s="797"/>
      <c r="E3" s="796"/>
      <c r="F3" s="796"/>
      <c r="G3" s="796"/>
      <c r="H3" s="797"/>
      <c r="I3" s="806" t="str">
        <f t="shared" si="0" ref="I3:I66">LEFT(A3,2)</f>
        <v/>
      </c>
      <c r="J3" s="782" t="str">
        <f t="shared" si="1" ref="J3:J66">LEFT(A3,3)</f>
        <v/>
      </c>
      <c r="K3" s="782" t="str">
        <f t="shared" si="2" ref="K3:K66">LEFT(A3,4)</f>
        <v/>
      </c>
      <c r="L3" s="782" t="str">
        <f t="shared" si="3" ref="L3:L66">LEFT(A3,5)</f>
        <v/>
      </c>
      <c r="M3" s="782" t="str">
        <f t="shared" si="4" ref="M3:M66">LEFT(A3,1)</f>
        <v/>
      </c>
    </row>
    <row r="4" spans="1:13" ht="13.2">
      <c r="A4" s="795"/>
      <c r="B4" s="795"/>
      <c r="C4" s="796"/>
      <c r="D4" s="797"/>
      <c r="E4" s="796"/>
      <c r="F4" s="796"/>
      <c r="G4" s="796"/>
      <c r="H4" s="797"/>
      <c r="I4" s="806" t="str">
        <f t="shared" si="0"/>
        <v/>
      </c>
      <c r="J4" s="782" t="str">
        <f t="shared" si="1"/>
        <v/>
      </c>
      <c r="K4" s="782" t="str">
        <f t="shared" si="2"/>
        <v/>
      </c>
      <c r="L4" s="782" t="str">
        <f t="shared" si="3"/>
        <v/>
      </c>
      <c r="M4" s="782" t="str">
        <f t="shared" si="4"/>
        <v/>
      </c>
    </row>
    <row r="5" spans="1:13" ht="13.2">
      <c r="A5" s="795"/>
      <c r="B5" s="795"/>
      <c r="C5" s="796"/>
      <c r="D5" s="797"/>
      <c r="E5" s="796"/>
      <c r="F5" s="796"/>
      <c r="G5" s="796"/>
      <c r="H5" s="797"/>
      <c r="I5" s="806" t="str">
        <f t="shared" si="0"/>
        <v/>
      </c>
      <c r="J5" s="782" t="str">
        <f t="shared" si="1"/>
        <v/>
      </c>
      <c r="K5" s="782" t="str">
        <f t="shared" si="2"/>
        <v/>
      </c>
      <c r="L5" s="782" t="str">
        <f t="shared" si="3"/>
        <v/>
      </c>
      <c r="M5" s="782" t="str">
        <f t="shared" si="4"/>
        <v/>
      </c>
    </row>
    <row r="6" spans="1:13" s="787" customFormat="1" ht="13.2">
      <c r="A6" s="795"/>
      <c r="B6" s="795"/>
      <c r="C6" s="796"/>
      <c r="D6" s="797"/>
      <c r="E6" s="796"/>
      <c r="F6" s="796"/>
      <c r="G6" s="796"/>
      <c r="H6" s="797"/>
      <c r="I6" s="806" t="str">
        <f t="shared" si="0"/>
        <v/>
      </c>
      <c r="J6" s="782" t="str">
        <f t="shared" si="1"/>
        <v/>
      </c>
      <c r="K6" s="782" t="str">
        <f t="shared" si="2"/>
        <v/>
      </c>
      <c r="L6" s="782" t="str">
        <f t="shared" si="3"/>
        <v/>
      </c>
      <c r="M6" s="782" t="str">
        <f t="shared" si="4"/>
        <v/>
      </c>
    </row>
    <row r="7" spans="1:13" ht="13.2">
      <c r="A7" s="795"/>
      <c r="B7" s="795"/>
      <c r="C7" s="796"/>
      <c r="D7" s="797"/>
      <c r="E7" s="796"/>
      <c r="F7" s="796"/>
      <c r="G7" s="796"/>
      <c r="H7" s="797"/>
      <c r="I7" s="806" t="str">
        <f t="shared" si="0"/>
        <v/>
      </c>
      <c r="J7" s="782" t="str">
        <f t="shared" si="1"/>
        <v/>
      </c>
      <c r="K7" s="782" t="str">
        <f t="shared" si="2"/>
        <v/>
      </c>
      <c r="L7" s="782" t="str">
        <f t="shared" si="3"/>
        <v/>
      </c>
      <c r="M7" s="782" t="str">
        <f t="shared" si="4"/>
        <v/>
      </c>
    </row>
    <row r="8" spans="1:15" ht="13.2">
      <c r="A8" s="795"/>
      <c r="B8" s="795"/>
      <c r="C8" s="796"/>
      <c r="D8" s="797"/>
      <c r="E8" s="796"/>
      <c r="F8" s="796"/>
      <c r="G8" s="796"/>
      <c r="H8" s="797"/>
      <c r="I8" s="806" t="str">
        <f t="shared" si="0"/>
        <v/>
      </c>
      <c r="J8" s="782" t="str">
        <f t="shared" si="1"/>
        <v/>
      </c>
      <c r="K8" s="782" t="str">
        <f t="shared" si="2"/>
        <v/>
      </c>
      <c r="L8" s="782" t="str">
        <f t="shared" si="3"/>
        <v/>
      </c>
      <c r="M8" s="782" t="str">
        <f t="shared" si="4"/>
        <v/>
      </c>
      <c r="O8" s="788"/>
    </row>
    <row r="9" spans="1:13" ht="13.2">
      <c r="A9" s="795"/>
      <c r="B9" s="795"/>
      <c r="C9" s="797"/>
      <c r="D9" s="796"/>
      <c r="E9" s="797"/>
      <c r="F9" s="796"/>
      <c r="G9" s="797"/>
      <c r="H9" s="796"/>
      <c r="I9" s="806" t="str">
        <f t="shared" si="0"/>
        <v/>
      </c>
      <c r="J9" s="782" t="str">
        <f t="shared" si="1"/>
        <v/>
      </c>
      <c r="K9" s="782" t="str">
        <f t="shared" si="2"/>
        <v/>
      </c>
      <c r="L9" s="782" t="str">
        <f t="shared" si="3"/>
        <v/>
      </c>
      <c r="M9" s="782" t="str">
        <f t="shared" si="4"/>
        <v/>
      </c>
    </row>
    <row r="10" spans="1:13" s="787" customFormat="1" ht="13.2">
      <c r="A10" s="795"/>
      <c r="B10" s="795"/>
      <c r="C10" s="797"/>
      <c r="D10" s="796"/>
      <c r="E10" s="796"/>
      <c r="F10" s="796"/>
      <c r="G10" s="797"/>
      <c r="H10" s="796"/>
      <c r="I10" s="806" t="str">
        <f t="shared" si="0"/>
        <v/>
      </c>
      <c r="J10" s="782" t="str">
        <f t="shared" si="1"/>
        <v/>
      </c>
      <c r="K10" s="782" t="str">
        <f t="shared" si="2"/>
        <v/>
      </c>
      <c r="L10" s="782" t="str">
        <f t="shared" si="3"/>
        <v/>
      </c>
      <c r="M10" s="782" t="str">
        <f t="shared" si="4"/>
        <v/>
      </c>
    </row>
    <row r="11" spans="1:13" ht="13.2">
      <c r="A11" s="795"/>
      <c r="B11" s="795"/>
      <c r="C11" s="797"/>
      <c r="D11" s="796"/>
      <c r="E11" s="796"/>
      <c r="F11" s="796"/>
      <c r="G11" s="797"/>
      <c r="H11" s="796"/>
      <c r="I11" s="806" t="str">
        <f t="shared" si="0"/>
        <v/>
      </c>
      <c r="J11" s="782" t="str">
        <f t="shared" si="1"/>
        <v/>
      </c>
      <c r="K11" s="782" t="str">
        <f t="shared" si="2"/>
        <v/>
      </c>
      <c r="L11" s="782" t="str">
        <f t="shared" si="3"/>
        <v/>
      </c>
      <c r="M11" s="782" t="str">
        <f t="shared" si="4"/>
        <v/>
      </c>
    </row>
    <row r="12" spans="1:13" ht="13.2">
      <c r="A12" s="795"/>
      <c r="B12" s="795"/>
      <c r="C12" s="797"/>
      <c r="D12" s="796"/>
      <c r="E12" s="796"/>
      <c r="F12" s="796"/>
      <c r="G12" s="797"/>
      <c r="H12" s="796"/>
      <c r="I12" s="806" t="str">
        <f t="shared" si="0"/>
        <v/>
      </c>
      <c r="J12" s="782" t="str">
        <f t="shared" si="1"/>
        <v/>
      </c>
      <c r="K12" s="782" t="str">
        <f t="shared" si="2"/>
        <v/>
      </c>
      <c r="L12" s="782" t="str">
        <f t="shared" si="3"/>
        <v/>
      </c>
      <c r="M12" s="782" t="str">
        <f t="shared" si="4"/>
        <v/>
      </c>
    </row>
    <row r="13" spans="1:13" ht="13.2">
      <c r="A13" s="795"/>
      <c r="B13" s="795"/>
      <c r="C13" s="796"/>
      <c r="D13" s="796"/>
      <c r="E13" s="797"/>
      <c r="F13" s="796"/>
      <c r="G13" s="797"/>
      <c r="H13" s="796"/>
      <c r="I13" s="806" t="str">
        <f t="shared" si="0"/>
        <v/>
      </c>
      <c r="J13" s="782" t="str">
        <f t="shared" si="1"/>
        <v/>
      </c>
      <c r="K13" s="782" t="str">
        <f t="shared" si="2"/>
        <v/>
      </c>
      <c r="L13" s="782" t="str">
        <f t="shared" si="3"/>
        <v/>
      </c>
      <c r="M13" s="782" t="str">
        <f t="shared" si="4"/>
        <v/>
      </c>
    </row>
    <row r="14" spans="1:13" s="787" customFormat="1" ht="13.2">
      <c r="A14" s="795"/>
      <c r="B14" s="795"/>
      <c r="C14" s="797"/>
      <c r="D14" s="796"/>
      <c r="E14" s="796"/>
      <c r="F14" s="796"/>
      <c r="G14" s="797"/>
      <c r="H14" s="796"/>
      <c r="I14" s="806" t="str">
        <f t="shared" si="0"/>
        <v/>
      </c>
      <c r="J14" s="782" t="str">
        <f t="shared" si="1"/>
        <v/>
      </c>
      <c r="K14" s="782" t="str">
        <f t="shared" si="2"/>
        <v/>
      </c>
      <c r="L14" s="782" t="str">
        <f t="shared" si="3"/>
        <v/>
      </c>
      <c r="M14" s="782" t="str">
        <f t="shared" si="4"/>
        <v/>
      </c>
    </row>
    <row r="15" spans="1:13" s="787" customFormat="1" ht="13.2">
      <c r="A15" s="795"/>
      <c r="B15" s="795"/>
      <c r="C15" s="797"/>
      <c r="D15" s="796"/>
      <c r="E15" s="797"/>
      <c r="F15" s="796"/>
      <c r="G15" s="797"/>
      <c r="H15" s="796"/>
      <c r="I15" s="806" t="str">
        <f t="shared" si="0"/>
        <v/>
      </c>
      <c r="J15" s="782" t="str">
        <f t="shared" si="1"/>
        <v/>
      </c>
      <c r="K15" s="782" t="str">
        <f t="shared" si="2"/>
        <v/>
      </c>
      <c r="L15" s="782" t="str">
        <f t="shared" si="3"/>
        <v/>
      </c>
      <c r="M15" s="782" t="str">
        <f t="shared" si="4"/>
        <v/>
      </c>
    </row>
    <row r="16" spans="1:13" s="787" customFormat="1" ht="13.2">
      <c r="A16" s="795"/>
      <c r="B16" s="795"/>
      <c r="C16" s="797"/>
      <c r="D16" s="796"/>
      <c r="E16" s="796"/>
      <c r="F16" s="796"/>
      <c r="G16" s="797"/>
      <c r="H16" s="796"/>
      <c r="I16" s="806" t="str">
        <f t="shared" si="0"/>
        <v/>
      </c>
      <c r="J16" s="782" t="str">
        <f t="shared" si="1"/>
        <v/>
      </c>
      <c r="K16" s="782" t="str">
        <f t="shared" si="2"/>
        <v/>
      </c>
      <c r="L16" s="782" t="str">
        <f t="shared" si="3"/>
        <v/>
      </c>
      <c r="M16" s="782" t="str">
        <f t="shared" si="4"/>
        <v/>
      </c>
    </row>
    <row r="17" spans="1:13" s="787" customFormat="1" ht="13.2">
      <c r="A17" s="795"/>
      <c r="B17" s="795"/>
      <c r="C17" s="797"/>
      <c r="D17" s="796"/>
      <c r="E17" s="797"/>
      <c r="F17" s="797"/>
      <c r="G17" s="797"/>
      <c r="H17" s="796"/>
      <c r="I17" s="806" t="str">
        <f t="shared" si="0"/>
        <v/>
      </c>
      <c r="J17" s="782" t="str">
        <f t="shared" si="1"/>
        <v/>
      </c>
      <c r="K17" s="782" t="str">
        <f t="shared" si="2"/>
        <v/>
      </c>
      <c r="L17" s="782" t="str">
        <f t="shared" si="3"/>
        <v/>
      </c>
      <c r="M17" s="782" t="str">
        <f t="shared" si="4"/>
        <v/>
      </c>
    </row>
    <row r="18" spans="1:13" s="787" customFormat="1" ht="13.2">
      <c r="A18" s="795"/>
      <c r="B18" s="795"/>
      <c r="C18" s="797"/>
      <c r="D18" s="796"/>
      <c r="E18" s="797"/>
      <c r="F18" s="796"/>
      <c r="G18" s="797"/>
      <c r="H18" s="796"/>
      <c r="I18" s="806" t="str">
        <f t="shared" si="0"/>
        <v/>
      </c>
      <c r="J18" s="782" t="str">
        <f t="shared" si="1"/>
        <v/>
      </c>
      <c r="K18" s="782" t="str">
        <f t="shared" si="2"/>
        <v/>
      </c>
      <c r="L18" s="782" t="str">
        <f t="shared" si="3"/>
        <v/>
      </c>
      <c r="M18" s="782" t="str">
        <f t="shared" si="4"/>
        <v/>
      </c>
    </row>
    <row r="19" spans="1:13" ht="13.2">
      <c r="A19" s="795"/>
      <c r="B19" s="795"/>
      <c r="C19" s="797"/>
      <c r="D19" s="796"/>
      <c r="E19" s="796"/>
      <c r="F19" s="796"/>
      <c r="G19" s="797"/>
      <c r="H19" s="796"/>
      <c r="I19" s="806" t="str">
        <f t="shared" si="0"/>
        <v/>
      </c>
      <c r="J19" s="782" t="str">
        <f t="shared" si="1"/>
        <v/>
      </c>
      <c r="K19" s="782" t="str">
        <f t="shared" si="2"/>
        <v/>
      </c>
      <c r="L19" s="782" t="str">
        <f t="shared" si="3"/>
        <v/>
      </c>
      <c r="M19" s="782" t="str">
        <f t="shared" si="4"/>
        <v/>
      </c>
    </row>
    <row r="20" spans="1:13" ht="13.2">
      <c r="A20" s="795"/>
      <c r="B20" s="795"/>
      <c r="C20" s="797"/>
      <c r="D20" s="796"/>
      <c r="E20" s="797"/>
      <c r="F20" s="796"/>
      <c r="G20" s="797"/>
      <c r="H20" s="796"/>
      <c r="I20" s="806" t="str">
        <f t="shared" si="0"/>
        <v/>
      </c>
      <c r="J20" s="782" t="str">
        <f t="shared" si="1"/>
        <v/>
      </c>
      <c r="K20" s="782" t="str">
        <f t="shared" si="2"/>
        <v/>
      </c>
      <c r="L20" s="782" t="str">
        <f t="shared" si="3"/>
        <v/>
      </c>
      <c r="M20" s="782" t="str">
        <f t="shared" si="4"/>
        <v/>
      </c>
    </row>
    <row r="21" spans="1:13" ht="13.2">
      <c r="A21" s="795"/>
      <c r="B21" s="795"/>
      <c r="C21" s="797"/>
      <c r="D21" s="796"/>
      <c r="E21" s="796"/>
      <c r="F21" s="796"/>
      <c r="G21" s="797"/>
      <c r="H21" s="796"/>
      <c r="I21" s="806" t="str">
        <f t="shared" si="0"/>
        <v/>
      </c>
      <c r="J21" s="782" t="str">
        <f t="shared" si="1"/>
        <v/>
      </c>
      <c r="K21" s="782" t="str">
        <f t="shared" si="2"/>
        <v/>
      </c>
      <c r="L21" s="782" t="str">
        <f t="shared" si="3"/>
        <v/>
      </c>
      <c r="M21" s="782" t="str">
        <f t="shared" si="4"/>
        <v/>
      </c>
    </row>
    <row r="22" spans="1:13" ht="13.2">
      <c r="A22" s="795"/>
      <c r="B22" s="795"/>
      <c r="C22" s="797"/>
      <c r="D22" s="796"/>
      <c r="E22" s="796"/>
      <c r="F22" s="796"/>
      <c r="G22" s="797"/>
      <c r="H22" s="796"/>
      <c r="I22" s="806" t="str">
        <f t="shared" si="0"/>
        <v/>
      </c>
      <c r="J22" s="782" t="str">
        <f t="shared" si="1"/>
        <v/>
      </c>
      <c r="K22" s="782" t="str">
        <f t="shared" si="2"/>
        <v/>
      </c>
      <c r="L22" s="782" t="str">
        <f t="shared" si="3"/>
        <v/>
      </c>
      <c r="M22" s="782" t="str">
        <f t="shared" si="4"/>
        <v/>
      </c>
    </row>
    <row r="23" spans="1:13" ht="13.2">
      <c r="A23" s="795"/>
      <c r="B23" s="795"/>
      <c r="C23" s="797"/>
      <c r="D23" s="796"/>
      <c r="E23" s="796"/>
      <c r="F23" s="796"/>
      <c r="G23" s="797"/>
      <c r="H23" s="796"/>
      <c r="I23" s="806" t="str">
        <f t="shared" si="0"/>
        <v/>
      </c>
      <c r="J23" s="782" t="str">
        <f t="shared" si="1"/>
        <v/>
      </c>
      <c r="K23" s="782" t="str">
        <f t="shared" si="2"/>
        <v/>
      </c>
      <c r="L23" s="782" t="str">
        <f t="shared" si="3"/>
        <v/>
      </c>
      <c r="M23" s="782" t="str">
        <f t="shared" si="4"/>
        <v/>
      </c>
    </row>
    <row r="24" spans="1:13" ht="13.2">
      <c r="A24" s="795"/>
      <c r="B24" s="795"/>
      <c r="C24" s="797"/>
      <c r="D24" s="796"/>
      <c r="E24" s="796"/>
      <c r="F24" s="796"/>
      <c r="G24" s="797"/>
      <c r="H24" s="796"/>
      <c r="I24" s="806" t="str">
        <f t="shared" si="0"/>
        <v/>
      </c>
      <c r="J24" s="782" t="str">
        <f t="shared" si="1"/>
        <v/>
      </c>
      <c r="K24" s="782" t="str">
        <f t="shared" si="2"/>
        <v/>
      </c>
      <c r="L24" s="782" t="str">
        <f t="shared" si="3"/>
        <v/>
      </c>
      <c r="M24" s="782" t="str">
        <f t="shared" si="4"/>
        <v/>
      </c>
    </row>
    <row r="25" spans="1:13" ht="13.2">
      <c r="A25" s="795"/>
      <c r="B25" s="795"/>
      <c r="C25" s="796"/>
      <c r="D25" s="796"/>
      <c r="E25" s="796"/>
      <c r="F25" s="797"/>
      <c r="G25" s="796"/>
      <c r="H25" s="797"/>
      <c r="I25" s="806" t="str">
        <f t="shared" si="0"/>
        <v/>
      </c>
      <c r="J25" s="782" t="str">
        <f t="shared" si="1"/>
        <v/>
      </c>
      <c r="K25" s="782" t="str">
        <f t="shared" si="2"/>
        <v/>
      </c>
      <c r="L25" s="782" t="str">
        <f t="shared" si="3"/>
        <v/>
      </c>
      <c r="M25" s="782" t="str">
        <f t="shared" si="4"/>
        <v/>
      </c>
    </row>
    <row r="26" spans="1:13" ht="13.2">
      <c r="A26" s="795"/>
      <c r="B26" s="795"/>
      <c r="C26" s="796"/>
      <c r="D26" s="797"/>
      <c r="E26" s="796"/>
      <c r="F26" s="797"/>
      <c r="G26" s="796"/>
      <c r="H26" s="797"/>
      <c r="I26" s="806" t="str">
        <f t="shared" si="0"/>
        <v/>
      </c>
      <c r="J26" s="782" t="str">
        <f t="shared" si="1"/>
        <v/>
      </c>
      <c r="K26" s="782" t="str">
        <f t="shared" si="2"/>
        <v/>
      </c>
      <c r="L26" s="782" t="str">
        <f t="shared" si="3"/>
        <v/>
      </c>
      <c r="M26" s="782" t="str">
        <f t="shared" si="4"/>
        <v/>
      </c>
    </row>
    <row r="27" spans="1:13" ht="13.2">
      <c r="A27" s="795"/>
      <c r="B27" s="795"/>
      <c r="C27" s="796"/>
      <c r="D27" s="797"/>
      <c r="E27" s="796"/>
      <c r="F27" s="797"/>
      <c r="G27" s="796"/>
      <c r="H27" s="797"/>
      <c r="I27" s="806" t="str">
        <f t="shared" si="0"/>
        <v/>
      </c>
      <c r="J27" s="782" t="str">
        <f t="shared" si="1"/>
        <v/>
      </c>
      <c r="K27" s="782" t="str">
        <f t="shared" si="2"/>
        <v/>
      </c>
      <c r="L27" s="782" t="str">
        <f t="shared" si="3"/>
        <v/>
      </c>
      <c r="M27" s="782" t="str">
        <f t="shared" si="4"/>
        <v/>
      </c>
    </row>
    <row r="28" spans="1:13" ht="13.2">
      <c r="A28" s="795"/>
      <c r="B28" s="795"/>
      <c r="C28" s="796"/>
      <c r="D28" s="797"/>
      <c r="E28" s="796"/>
      <c r="F28" s="797"/>
      <c r="G28" s="796"/>
      <c r="H28" s="797"/>
      <c r="I28" s="806" t="str">
        <f t="shared" si="0"/>
        <v/>
      </c>
      <c r="J28" s="782" t="str">
        <f t="shared" si="1"/>
        <v/>
      </c>
      <c r="K28" s="782" t="str">
        <f t="shared" si="2"/>
        <v/>
      </c>
      <c r="L28" s="782" t="str">
        <f t="shared" si="3"/>
        <v/>
      </c>
      <c r="M28" s="782" t="str">
        <f t="shared" si="4"/>
        <v/>
      </c>
    </row>
    <row r="29" spans="1:13" ht="13.2">
      <c r="A29" s="795"/>
      <c r="B29" s="795"/>
      <c r="C29" s="796"/>
      <c r="D29" s="797"/>
      <c r="E29" s="796"/>
      <c r="F29" s="797"/>
      <c r="G29" s="796"/>
      <c r="H29" s="797"/>
      <c r="I29" s="806" t="str">
        <f t="shared" si="0"/>
        <v/>
      </c>
      <c r="J29" s="782" t="str">
        <f t="shared" si="1"/>
        <v/>
      </c>
      <c r="K29" s="782" t="str">
        <f t="shared" si="2"/>
        <v/>
      </c>
      <c r="L29" s="782" t="str">
        <f t="shared" si="3"/>
        <v/>
      </c>
      <c r="M29" s="782" t="str">
        <f t="shared" si="4"/>
        <v/>
      </c>
    </row>
    <row r="30" spans="1:13" ht="13.2">
      <c r="A30" s="795"/>
      <c r="B30" s="795"/>
      <c r="C30" s="796"/>
      <c r="D30" s="797"/>
      <c r="E30" s="796"/>
      <c r="F30" s="797"/>
      <c r="G30" s="796"/>
      <c r="H30" s="797"/>
      <c r="I30" s="806" t="str">
        <f t="shared" si="0"/>
        <v/>
      </c>
      <c r="J30" s="782" t="str">
        <f t="shared" si="1"/>
        <v/>
      </c>
      <c r="K30" s="782" t="str">
        <f t="shared" si="2"/>
        <v/>
      </c>
      <c r="L30" s="782" t="str">
        <f t="shared" si="3"/>
        <v/>
      </c>
      <c r="M30" s="782" t="str">
        <f t="shared" si="4"/>
        <v/>
      </c>
    </row>
    <row r="31" spans="1:13" ht="13.2">
      <c r="A31" s="795"/>
      <c r="B31" s="795"/>
      <c r="C31" s="796"/>
      <c r="D31" s="797"/>
      <c r="E31" s="796"/>
      <c r="F31" s="797"/>
      <c r="G31" s="796"/>
      <c r="H31" s="797"/>
      <c r="I31" s="806" t="str">
        <f t="shared" si="0"/>
        <v/>
      </c>
      <c r="J31" s="782" t="str">
        <f t="shared" si="1"/>
        <v/>
      </c>
      <c r="K31" s="782" t="str">
        <f t="shared" si="2"/>
        <v/>
      </c>
      <c r="L31" s="782" t="str">
        <f t="shared" si="3"/>
        <v/>
      </c>
      <c r="M31" s="782" t="str">
        <f t="shared" si="4"/>
        <v/>
      </c>
    </row>
    <row r="32" spans="1:13" ht="13.2">
      <c r="A32" s="795"/>
      <c r="B32" s="795"/>
      <c r="C32" s="796"/>
      <c r="D32" s="797"/>
      <c r="E32" s="796"/>
      <c r="F32" s="797"/>
      <c r="G32" s="796"/>
      <c r="H32" s="797"/>
      <c r="I32" s="806" t="str">
        <f t="shared" si="0"/>
        <v/>
      </c>
      <c r="J32" s="782" t="str">
        <f t="shared" si="1"/>
        <v/>
      </c>
      <c r="K32" s="782" t="str">
        <f t="shared" si="2"/>
        <v/>
      </c>
      <c r="L32" s="782" t="str">
        <f t="shared" si="3"/>
        <v/>
      </c>
      <c r="M32" s="782" t="str">
        <f t="shared" si="4"/>
        <v/>
      </c>
    </row>
    <row r="33" spans="1:13" ht="13.2">
      <c r="A33" s="795"/>
      <c r="B33" s="795"/>
      <c r="C33" s="796"/>
      <c r="D33" s="797"/>
      <c r="E33" s="796"/>
      <c r="F33" s="796"/>
      <c r="G33" s="796"/>
      <c r="H33" s="797"/>
      <c r="I33" s="806" t="str">
        <f t="shared" si="0"/>
        <v/>
      </c>
      <c r="J33" s="782" t="str">
        <f t="shared" si="1"/>
        <v/>
      </c>
      <c r="K33" s="782" t="str">
        <f t="shared" si="2"/>
        <v/>
      </c>
      <c r="L33" s="782" t="str">
        <f t="shared" si="3"/>
        <v/>
      </c>
      <c r="M33" s="782" t="str">
        <f t="shared" si="4"/>
        <v/>
      </c>
    </row>
    <row r="34" spans="1:13" ht="13.2">
      <c r="A34" s="795"/>
      <c r="B34" s="795"/>
      <c r="C34" s="796"/>
      <c r="D34" s="797"/>
      <c r="E34" s="796"/>
      <c r="F34" s="797"/>
      <c r="G34" s="796"/>
      <c r="H34" s="797"/>
      <c r="I34" s="806" t="str">
        <f t="shared" si="0"/>
        <v/>
      </c>
      <c r="J34" s="782" t="str">
        <f t="shared" si="1"/>
        <v/>
      </c>
      <c r="K34" s="782" t="str">
        <f t="shared" si="2"/>
        <v/>
      </c>
      <c r="L34" s="782" t="str">
        <f t="shared" si="3"/>
        <v/>
      </c>
      <c r="M34" s="782" t="str">
        <f t="shared" si="4"/>
        <v/>
      </c>
    </row>
    <row r="35" spans="1:13" s="787" customFormat="1" ht="13.2">
      <c r="A35" s="795"/>
      <c r="B35" s="795"/>
      <c r="C35" s="797"/>
      <c r="D35" s="796"/>
      <c r="E35" s="797"/>
      <c r="F35" s="797"/>
      <c r="G35" s="797"/>
      <c r="H35" s="796"/>
      <c r="I35" s="806" t="str">
        <f t="shared" si="0"/>
        <v/>
      </c>
      <c r="J35" s="782" t="str">
        <f t="shared" si="1"/>
        <v/>
      </c>
      <c r="K35" s="782" t="str">
        <f t="shared" si="2"/>
        <v/>
      </c>
      <c r="L35" s="782" t="str">
        <f t="shared" si="3"/>
        <v/>
      </c>
      <c r="M35" s="782" t="str">
        <f t="shared" si="4"/>
        <v/>
      </c>
    </row>
    <row r="36" spans="1:13" ht="13.2">
      <c r="A36" s="795"/>
      <c r="B36" s="795"/>
      <c r="C36" s="797"/>
      <c r="D36" s="797"/>
      <c r="E36" s="797"/>
      <c r="F36" s="797"/>
      <c r="G36" s="796"/>
      <c r="H36" s="796"/>
      <c r="I36" s="806" t="str">
        <f t="shared" si="0"/>
        <v/>
      </c>
      <c r="J36" s="782" t="str">
        <f t="shared" si="1"/>
        <v/>
      </c>
      <c r="K36" s="782" t="str">
        <f t="shared" si="2"/>
        <v/>
      </c>
      <c r="L36" s="782" t="str">
        <f t="shared" si="3"/>
        <v/>
      </c>
      <c r="M36" s="782" t="str">
        <f t="shared" si="4"/>
        <v/>
      </c>
    </row>
    <row r="37" spans="1:13" ht="13.2">
      <c r="A37" s="795"/>
      <c r="B37" s="795"/>
      <c r="C37" s="796"/>
      <c r="D37" s="797"/>
      <c r="E37" s="797"/>
      <c r="F37" s="797"/>
      <c r="G37" s="796"/>
      <c r="H37" s="797"/>
      <c r="I37" s="806" t="str">
        <f t="shared" si="0"/>
        <v/>
      </c>
      <c r="J37" s="782" t="str">
        <f t="shared" si="1"/>
        <v/>
      </c>
      <c r="K37" s="782" t="str">
        <f t="shared" si="2"/>
        <v/>
      </c>
      <c r="L37" s="782" t="str">
        <f t="shared" si="3"/>
        <v/>
      </c>
      <c r="M37" s="782" t="str">
        <f t="shared" si="4"/>
        <v/>
      </c>
    </row>
    <row r="38" spans="1:13" ht="13.2">
      <c r="A38" s="795"/>
      <c r="B38" s="795"/>
      <c r="C38" s="797"/>
      <c r="D38" s="796"/>
      <c r="E38" s="797"/>
      <c r="F38" s="797"/>
      <c r="G38" s="797"/>
      <c r="H38" s="796"/>
      <c r="I38" s="806" t="str">
        <f t="shared" si="0"/>
        <v/>
      </c>
      <c r="J38" s="782" t="str">
        <f t="shared" si="1"/>
        <v/>
      </c>
      <c r="K38" s="782" t="str">
        <f t="shared" si="2"/>
        <v/>
      </c>
      <c r="L38" s="782" t="str">
        <f t="shared" si="3"/>
        <v/>
      </c>
      <c r="M38" s="782" t="str">
        <f t="shared" si="4"/>
        <v/>
      </c>
    </row>
    <row r="39" spans="1:13" ht="13.2">
      <c r="A39" s="795"/>
      <c r="B39" s="795"/>
      <c r="C39" s="797"/>
      <c r="D39" s="796"/>
      <c r="E39" s="796"/>
      <c r="F39" s="797"/>
      <c r="G39" s="796"/>
      <c r="H39" s="796"/>
      <c r="I39" s="806" t="str">
        <f t="shared" si="0"/>
        <v/>
      </c>
      <c r="J39" s="782" t="str">
        <f t="shared" si="1"/>
        <v/>
      </c>
      <c r="K39" s="782" t="str">
        <f t="shared" si="2"/>
        <v/>
      </c>
      <c r="L39" s="782" t="str">
        <f t="shared" si="3"/>
        <v/>
      </c>
      <c r="M39" s="782" t="str">
        <f t="shared" si="4"/>
        <v/>
      </c>
    </row>
    <row r="40" spans="1:13" ht="13.2">
      <c r="A40" s="795"/>
      <c r="B40" s="795"/>
      <c r="C40" s="797"/>
      <c r="D40" s="796"/>
      <c r="E40" s="797"/>
      <c r="F40" s="796"/>
      <c r="G40" s="797"/>
      <c r="H40" s="796"/>
      <c r="I40" s="806" t="str">
        <f t="shared" si="0"/>
        <v/>
      </c>
      <c r="J40" s="782" t="str">
        <f t="shared" si="1"/>
        <v/>
      </c>
      <c r="K40" s="782" t="str">
        <f t="shared" si="2"/>
        <v/>
      </c>
      <c r="L40" s="782" t="str">
        <f t="shared" si="3"/>
        <v/>
      </c>
      <c r="M40" s="782" t="str">
        <f t="shared" si="4"/>
        <v/>
      </c>
    </row>
    <row r="41" spans="1:13" ht="13.2">
      <c r="A41" s="795"/>
      <c r="B41" s="795"/>
      <c r="C41" s="797"/>
      <c r="D41" s="797"/>
      <c r="E41" s="796"/>
      <c r="F41" s="797"/>
      <c r="G41" s="796"/>
      <c r="H41" s="796"/>
      <c r="I41" s="806" t="str">
        <f t="shared" si="0"/>
        <v/>
      </c>
      <c r="J41" s="782" t="str">
        <f t="shared" si="1"/>
        <v/>
      </c>
      <c r="K41" s="782" t="str">
        <f t="shared" si="2"/>
        <v/>
      </c>
      <c r="L41" s="782" t="str">
        <f t="shared" si="3"/>
        <v/>
      </c>
      <c r="M41" s="782" t="str">
        <f t="shared" si="4"/>
        <v/>
      </c>
    </row>
    <row r="42" spans="1:13" ht="13.2">
      <c r="A42" s="795"/>
      <c r="B42" s="795"/>
      <c r="C42" s="796"/>
      <c r="D42" s="797"/>
      <c r="E42" s="796"/>
      <c r="F42" s="797"/>
      <c r="G42" s="796"/>
      <c r="H42" s="797"/>
      <c r="I42" s="806" t="str">
        <f t="shared" si="0"/>
        <v/>
      </c>
      <c r="J42" s="782" t="str">
        <f t="shared" si="1"/>
        <v/>
      </c>
      <c r="K42" s="782" t="str">
        <f t="shared" si="2"/>
        <v/>
      </c>
      <c r="L42" s="782" t="str">
        <f t="shared" si="3"/>
        <v/>
      </c>
      <c r="M42" s="782" t="str">
        <f t="shared" si="4"/>
        <v/>
      </c>
    </row>
    <row r="43" spans="1:13" ht="13.2">
      <c r="A43" s="795"/>
      <c r="B43" s="795"/>
      <c r="C43" s="797"/>
      <c r="D43" s="797"/>
      <c r="E43" s="797"/>
      <c r="F43" s="797"/>
      <c r="G43" s="797"/>
      <c r="H43" s="796"/>
      <c r="I43" s="806" t="str">
        <f t="shared" si="0"/>
        <v/>
      </c>
      <c r="J43" s="782" t="str">
        <f t="shared" si="1"/>
        <v/>
      </c>
      <c r="K43" s="782" t="str">
        <f t="shared" si="2"/>
        <v/>
      </c>
      <c r="L43" s="782" t="str">
        <f t="shared" si="3"/>
        <v/>
      </c>
      <c r="M43" s="782" t="str">
        <f t="shared" si="4"/>
        <v/>
      </c>
    </row>
    <row r="44" spans="1:13" ht="13.2">
      <c r="A44" s="795"/>
      <c r="B44" s="795"/>
      <c r="C44" s="796"/>
      <c r="D44" s="797"/>
      <c r="E44" s="797"/>
      <c r="F44" s="797"/>
      <c r="G44" s="796"/>
      <c r="H44" s="796"/>
      <c r="I44" s="806" t="str">
        <f t="shared" si="0"/>
        <v/>
      </c>
      <c r="J44" s="782" t="str">
        <f t="shared" si="1"/>
        <v/>
      </c>
      <c r="K44" s="782" t="str">
        <f t="shared" si="2"/>
        <v/>
      </c>
      <c r="L44" s="782" t="str">
        <f t="shared" si="3"/>
        <v/>
      </c>
      <c r="M44" s="782" t="str">
        <f t="shared" si="4"/>
        <v/>
      </c>
    </row>
    <row r="45" spans="1:13" ht="13.2">
      <c r="A45" s="795"/>
      <c r="B45" s="795"/>
      <c r="C45" s="796"/>
      <c r="D45" s="797"/>
      <c r="E45" s="797"/>
      <c r="F45" s="797"/>
      <c r="G45" s="796"/>
      <c r="H45" s="797"/>
      <c r="I45" s="806" t="str">
        <f t="shared" si="0"/>
        <v/>
      </c>
      <c r="J45" s="782" t="str">
        <f t="shared" si="1"/>
        <v/>
      </c>
      <c r="K45" s="782" t="str">
        <f t="shared" si="2"/>
        <v/>
      </c>
      <c r="L45" s="782" t="str">
        <f t="shared" si="3"/>
        <v/>
      </c>
      <c r="M45" s="782" t="str">
        <f t="shared" si="4"/>
        <v/>
      </c>
    </row>
    <row r="46" spans="1:13" ht="13.2">
      <c r="A46" s="795"/>
      <c r="B46" s="795"/>
      <c r="C46" s="796"/>
      <c r="D46" s="797"/>
      <c r="E46" s="797"/>
      <c r="F46" s="797"/>
      <c r="G46" s="796"/>
      <c r="H46" s="797"/>
      <c r="I46" s="806" t="str">
        <f t="shared" si="0"/>
        <v/>
      </c>
      <c r="J46" s="782" t="str">
        <f t="shared" si="1"/>
        <v/>
      </c>
      <c r="K46" s="782" t="str">
        <f t="shared" si="2"/>
        <v/>
      </c>
      <c r="L46" s="782" t="str">
        <f t="shared" si="3"/>
        <v/>
      </c>
      <c r="M46" s="782" t="str">
        <f t="shared" si="4"/>
        <v/>
      </c>
    </row>
    <row r="47" spans="1:13" ht="13.2">
      <c r="A47" s="795"/>
      <c r="B47" s="795"/>
      <c r="C47" s="796"/>
      <c r="D47" s="797"/>
      <c r="E47" s="797"/>
      <c r="F47" s="797"/>
      <c r="G47" s="796"/>
      <c r="H47" s="797"/>
      <c r="I47" s="806" t="str">
        <f t="shared" si="0"/>
        <v/>
      </c>
      <c r="J47" s="782" t="str">
        <f t="shared" si="1"/>
        <v/>
      </c>
      <c r="K47" s="782" t="str">
        <f t="shared" si="2"/>
        <v/>
      </c>
      <c r="L47" s="782" t="str">
        <f t="shared" si="3"/>
        <v/>
      </c>
      <c r="M47" s="782" t="str">
        <f t="shared" si="4"/>
        <v/>
      </c>
    </row>
    <row r="48" spans="1:13" ht="13.2">
      <c r="A48" s="795"/>
      <c r="B48" s="795"/>
      <c r="C48" s="796"/>
      <c r="D48" s="797"/>
      <c r="E48" s="796"/>
      <c r="F48" s="796"/>
      <c r="G48" s="796"/>
      <c r="H48" s="797"/>
      <c r="I48" s="806" t="str">
        <f t="shared" si="0"/>
        <v/>
      </c>
      <c r="J48" s="782" t="str">
        <f t="shared" si="1"/>
        <v/>
      </c>
      <c r="K48" s="782" t="str">
        <f t="shared" si="2"/>
        <v/>
      </c>
      <c r="L48" s="782" t="str">
        <f t="shared" si="3"/>
        <v/>
      </c>
      <c r="M48" s="782" t="str">
        <f t="shared" si="4"/>
        <v/>
      </c>
    </row>
    <row r="49" spans="1:13" ht="13.2">
      <c r="A49" s="795"/>
      <c r="B49" s="795"/>
      <c r="C49" s="796"/>
      <c r="D49" s="796"/>
      <c r="E49" s="797"/>
      <c r="F49" s="796"/>
      <c r="G49" s="797"/>
      <c r="H49" s="796"/>
      <c r="I49" s="806" t="str">
        <f t="shared" si="0"/>
        <v/>
      </c>
      <c r="J49" s="782" t="str">
        <f t="shared" si="1"/>
        <v/>
      </c>
      <c r="K49" s="782" t="str">
        <f t="shared" si="2"/>
        <v/>
      </c>
      <c r="L49" s="782" t="str">
        <f t="shared" si="3"/>
        <v/>
      </c>
      <c r="M49" s="782" t="str">
        <f t="shared" si="4"/>
        <v/>
      </c>
    </row>
    <row r="50" spans="1:14" ht="13.2">
      <c r="A50" s="795"/>
      <c r="B50" s="795"/>
      <c r="C50" s="796"/>
      <c r="D50" s="797"/>
      <c r="E50" s="797"/>
      <c r="F50" s="797"/>
      <c r="G50" s="796"/>
      <c r="H50" s="797"/>
      <c r="I50" s="806" t="str">
        <f t="shared" si="0"/>
        <v/>
      </c>
      <c r="J50" s="782" t="str">
        <f t="shared" si="1"/>
        <v/>
      </c>
      <c r="K50" s="782" t="str">
        <f t="shared" si="2"/>
        <v/>
      </c>
      <c r="L50" s="782" t="str">
        <f t="shared" si="3"/>
        <v/>
      </c>
      <c r="M50" s="782" t="str">
        <f t="shared" si="4"/>
        <v/>
      </c>
      <c r="N50" s="788"/>
    </row>
    <row r="51" spans="1:13" ht="13.2">
      <c r="A51" s="795"/>
      <c r="B51" s="795"/>
      <c r="C51" s="796"/>
      <c r="D51" s="796"/>
      <c r="E51" s="797"/>
      <c r="F51" s="797"/>
      <c r="G51" s="796"/>
      <c r="H51" s="796"/>
      <c r="I51" s="806" t="str">
        <f t="shared" si="0"/>
        <v/>
      </c>
      <c r="J51" s="782" t="str">
        <f t="shared" si="1"/>
        <v/>
      </c>
      <c r="K51" s="782" t="str">
        <f t="shared" si="2"/>
        <v/>
      </c>
      <c r="L51" s="782" t="str">
        <f t="shared" si="3"/>
        <v/>
      </c>
      <c r="M51" s="782" t="str">
        <f t="shared" si="4"/>
        <v/>
      </c>
    </row>
    <row r="52" spans="1:13" ht="13.2">
      <c r="A52" s="795"/>
      <c r="B52" s="795"/>
      <c r="C52" s="796"/>
      <c r="D52" s="797"/>
      <c r="E52" s="796"/>
      <c r="F52" s="796"/>
      <c r="G52" s="796"/>
      <c r="H52" s="797"/>
      <c r="I52" s="806" t="str">
        <f t="shared" si="0"/>
        <v/>
      </c>
      <c r="J52" s="782" t="str">
        <f t="shared" si="1"/>
        <v/>
      </c>
      <c r="K52" s="782" t="str">
        <f t="shared" si="2"/>
        <v/>
      </c>
      <c r="L52" s="782" t="str">
        <f t="shared" si="3"/>
        <v/>
      </c>
      <c r="M52" s="782" t="str">
        <f t="shared" si="4"/>
        <v/>
      </c>
    </row>
    <row r="53" spans="1:13" ht="13.2">
      <c r="A53" s="795"/>
      <c r="B53" s="795"/>
      <c r="C53" s="797"/>
      <c r="D53" s="796"/>
      <c r="E53" s="796"/>
      <c r="F53" s="796"/>
      <c r="G53" s="797"/>
      <c r="H53" s="796"/>
      <c r="I53" s="806" t="str">
        <f t="shared" si="0"/>
        <v/>
      </c>
      <c r="J53" s="782" t="str">
        <f t="shared" si="1"/>
        <v/>
      </c>
      <c r="K53" s="782" t="str">
        <f t="shared" si="2"/>
        <v/>
      </c>
      <c r="L53" s="782" t="str">
        <f t="shared" si="3"/>
        <v/>
      </c>
      <c r="M53" s="782" t="str">
        <f t="shared" si="4"/>
        <v/>
      </c>
    </row>
    <row r="54" spans="1:13" ht="13.2">
      <c r="A54" s="795"/>
      <c r="B54" s="795"/>
      <c r="C54" s="797"/>
      <c r="D54" s="796"/>
      <c r="E54" s="796"/>
      <c r="F54" s="796"/>
      <c r="G54" s="797"/>
      <c r="H54" s="796"/>
      <c r="I54" s="806" t="str">
        <f t="shared" si="0"/>
        <v/>
      </c>
      <c r="J54" s="782" t="str">
        <f t="shared" si="1"/>
        <v/>
      </c>
      <c r="K54" s="782" t="str">
        <f t="shared" si="2"/>
        <v/>
      </c>
      <c r="L54" s="782" t="str">
        <f t="shared" si="3"/>
        <v/>
      </c>
      <c r="M54" s="782" t="str">
        <f t="shared" si="4"/>
        <v/>
      </c>
    </row>
    <row r="55" spans="1:13" ht="13.2">
      <c r="A55" s="795"/>
      <c r="B55" s="795"/>
      <c r="C55" s="797"/>
      <c r="D55" s="796"/>
      <c r="E55" s="796"/>
      <c r="F55" s="796"/>
      <c r="G55" s="797"/>
      <c r="H55" s="796"/>
      <c r="I55" s="806" t="str">
        <f t="shared" si="0"/>
        <v/>
      </c>
      <c r="J55" s="782" t="str">
        <f t="shared" si="1"/>
        <v/>
      </c>
      <c r="K55" s="782" t="str">
        <f t="shared" si="2"/>
        <v/>
      </c>
      <c r="L55" s="782" t="str">
        <f t="shared" si="3"/>
        <v/>
      </c>
      <c r="M55" s="782" t="str">
        <f t="shared" si="4"/>
        <v/>
      </c>
    </row>
    <row r="56" spans="1:13" ht="13.2">
      <c r="A56" s="795"/>
      <c r="B56" s="795"/>
      <c r="C56" s="796"/>
      <c r="D56" s="797"/>
      <c r="E56" s="796"/>
      <c r="F56" s="796"/>
      <c r="G56" s="796"/>
      <c r="H56" s="797"/>
      <c r="I56" s="806" t="str">
        <f t="shared" si="0"/>
        <v/>
      </c>
      <c r="J56" s="782" t="str">
        <f t="shared" si="1"/>
        <v/>
      </c>
      <c r="K56" s="782" t="str">
        <f t="shared" si="2"/>
        <v/>
      </c>
      <c r="L56" s="782" t="str">
        <f t="shared" si="3"/>
        <v/>
      </c>
      <c r="M56" s="782" t="str">
        <f t="shared" si="4"/>
        <v/>
      </c>
    </row>
    <row r="57" spans="1:13" ht="13.2">
      <c r="A57" s="795"/>
      <c r="B57" s="795"/>
      <c r="C57" s="796"/>
      <c r="D57" s="797"/>
      <c r="E57" s="796"/>
      <c r="F57" s="796"/>
      <c r="G57" s="796"/>
      <c r="H57" s="797"/>
      <c r="I57" s="806" t="str">
        <f t="shared" si="0"/>
        <v/>
      </c>
      <c r="J57" s="782" t="str">
        <f t="shared" si="1"/>
        <v/>
      </c>
      <c r="K57" s="782" t="str">
        <f t="shared" si="2"/>
        <v/>
      </c>
      <c r="L57" s="782" t="str">
        <f t="shared" si="3"/>
        <v/>
      </c>
      <c r="M57" s="782" t="str">
        <f t="shared" si="4"/>
        <v/>
      </c>
    </row>
    <row r="58" spans="1:13" ht="13.2">
      <c r="A58" s="795"/>
      <c r="B58" s="795"/>
      <c r="C58" s="797"/>
      <c r="D58" s="796"/>
      <c r="E58" s="797"/>
      <c r="F58" s="797"/>
      <c r="G58" s="797"/>
      <c r="H58" s="796"/>
      <c r="I58" s="806" t="str">
        <f t="shared" si="0"/>
        <v/>
      </c>
      <c r="J58" s="782" t="str">
        <f t="shared" si="1"/>
        <v/>
      </c>
      <c r="K58" s="782" t="str">
        <f t="shared" si="2"/>
        <v/>
      </c>
      <c r="L58" s="782" t="str">
        <f t="shared" si="3"/>
        <v/>
      </c>
      <c r="M58" s="782" t="str">
        <f t="shared" si="4"/>
        <v/>
      </c>
    </row>
    <row r="59" spans="1:13" ht="13.2">
      <c r="A59" s="795"/>
      <c r="B59" s="795"/>
      <c r="C59" s="797"/>
      <c r="D59" s="796"/>
      <c r="E59" s="796"/>
      <c r="F59" s="797"/>
      <c r="G59" s="797"/>
      <c r="H59" s="796"/>
      <c r="I59" s="806" t="str">
        <f t="shared" si="0"/>
        <v/>
      </c>
      <c r="J59" s="782" t="str">
        <f t="shared" si="1"/>
        <v/>
      </c>
      <c r="K59" s="782" t="str">
        <f t="shared" si="2"/>
        <v/>
      </c>
      <c r="L59" s="782" t="str">
        <f t="shared" si="3"/>
        <v/>
      </c>
      <c r="M59" s="782" t="str">
        <f t="shared" si="4"/>
        <v/>
      </c>
    </row>
    <row r="60" spans="1:13" ht="13.2">
      <c r="A60" s="795"/>
      <c r="B60" s="795"/>
      <c r="C60" s="797"/>
      <c r="D60" s="796"/>
      <c r="E60" s="797"/>
      <c r="F60" s="797"/>
      <c r="G60" s="797"/>
      <c r="H60" s="796"/>
      <c r="I60" s="806" t="str">
        <f t="shared" si="0"/>
        <v/>
      </c>
      <c r="J60" s="782" t="str">
        <f t="shared" si="1"/>
        <v/>
      </c>
      <c r="K60" s="782" t="str">
        <f t="shared" si="2"/>
        <v/>
      </c>
      <c r="L60" s="782" t="str">
        <f t="shared" si="3"/>
        <v/>
      </c>
      <c r="M60" s="782" t="str">
        <f t="shared" si="4"/>
        <v/>
      </c>
    </row>
    <row r="61" spans="1:13" ht="13.2">
      <c r="A61" s="795"/>
      <c r="B61" s="795"/>
      <c r="C61" s="796"/>
      <c r="D61" s="796"/>
      <c r="E61" s="797"/>
      <c r="F61" s="797"/>
      <c r="G61" s="796"/>
      <c r="H61" s="796"/>
      <c r="I61" s="806" t="str">
        <f t="shared" si="0"/>
        <v/>
      </c>
      <c r="J61" s="782" t="str">
        <f t="shared" si="1"/>
        <v/>
      </c>
      <c r="K61" s="782" t="str">
        <f t="shared" si="2"/>
        <v/>
      </c>
      <c r="L61" s="782" t="str">
        <f t="shared" si="3"/>
        <v/>
      </c>
      <c r="M61" s="782" t="str">
        <f t="shared" si="4"/>
        <v/>
      </c>
    </row>
    <row r="62" spans="1:13" ht="13.2">
      <c r="A62" s="795"/>
      <c r="B62" s="795"/>
      <c r="C62" s="796"/>
      <c r="D62" s="796"/>
      <c r="E62" s="797"/>
      <c r="F62" s="796"/>
      <c r="G62" s="797"/>
      <c r="H62" s="796"/>
      <c r="I62" s="806" t="str">
        <f t="shared" si="0"/>
        <v/>
      </c>
      <c r="J62" s="782" t="str">
        <f t="shared" si="1"/>
        <v/>
      </c>
      <c r="K62" s="782" t="str">
        <f t="shared" si="2"/>
        <v/>
      </c>
      <c r="L62" s="782" t="str">
        <f t="shared" si="3"/>
        <v/>
      </c>
      <c r="M62" s="782" t="str">
        <f t="shared" si="4"/>
        <v/>
      </c>
    </row>
    <row r="63" spans="1:13" ht="13.2">
      <c r="A63" s="795"/>
      <c r="B63" s="795"/>
      <c r="C63" s="796"/>
      <c r="D63" s="796"/>
      <c r="E63" s="797"/>
      <c r="F63" s="796"/>
      <c r="G63" s="797"/>
      <c r="H63" s="796"/>
      <c r="I63" s="806" t="str">
        <f t="shared" si="0"/>
        <v/>
      </c>
      <c r="J63" s="782" t="str">
        <f t="shared" si="1"/>
        <v/>
      </c>
      <c r="K63" s="782" t="str">
        <f t="shared" si="2"/>
        <v/>
      </c>
      <c r="L63" s="782" t="str">
        <f t="shared" si="3"/>
        <v/>
      </c>
      <c r="M63" s="782" t="str">
        <f t="shared" si="4"/>
        <v/>
      </c>
    </row>
    <row r="64" spans="1:13" ht="13.2">
      <c r="A64" s="795"/>
      <c r="B64" s="795"/>
      <c r="C64" s="796"/>
      <c r="D64" s="796"/>
      <c r="E64" s="797"/>
      <c r="F64" s="797"/>
      <c r="G64" s="797"/>
      <c r="H64" s="796"/>
      <c r="I64" s="806" t="str">
        <f t="shared" si="0"/>
        <v/>
      </c>
      <c r="J64" s="782" t="str">
        <f t="shared" si="1"/>
        <v/>
      </c>
      <c r="K64" s="782" t="str">
        <f t="shared" si="2"/>
        <v/>
      </c>
      <c r="L64" s="782" t="str">
        <f t="shared" si="3"/>
        <v/>
      </c>
      <c r="M64" s="782" t="str">
        <f t="shared" si="4"/>
        <v/>
      </c>
    </row>
    <row r="65" spans="1:13" ht="13.2">
      <c r="A65" s="795"/>
      <c r="B65" s="795"/>
      <c r="C65" s="796"/>
      <c r="D65" s="796"/>
      <c r="E65" s="797"/>
      <c r="F65" s="796"/>
      <c r="G65" s="797"/>
      <c r="H65" s="796"/>
      <c r="I65" s="806" t="str">
        <f t="shared" si="0"/>
        <v/>
      </c>
      <c r="J65" s="782" t="str">
        <f t="shared" si="1"/>
        <v/>
      </c>
      <c r="K65" s="782" t="str">
        <f t="shared" si="2"/>
        <v/>
      </c>
      <c r="L65" s="782" t="str">
        <f t="shared" si="3"/>
        <v/>
      </c>
      <c r="M65" s="782" t="str">
        <f t="shared" si="4"/>
        <v/>
      </c>
    </row>
    <row r="66" spans="1:13" ht="13.2">
      <c r="A66" s="795"/>
      <c r="B66" s="795"/>
      <c r="C66" s="796"/>
      <c r="D66" s="796"/>
      <c r="E66" s="797"/>
      <c r="F66" s="796"/>
      <c r="G66" s="797"/>
      <c r="H66" s="796"/>
      <c r="I66" s="806" t="str">
        <f t="shared" si="0"/>
        <v/>
      </c>
      <c r="J66" s="782" t="str">
        <f t="shared" si="1"/>
        <v/>
      </c>
      <c r="K66" s="782" t="str">
        <f t="shared" si="2"/>
        <v/>
      </c>
      <c r="L66" s="782" t="str">
        <f t="shared" si="3"/>
        <v/>
      </c>
      <c r="M66" s="782" t="str">
        <f t="shared" si="4"/>
        <v/>
      </c>
    </row>
    <row r="67" spans="1:13" ht="13.2">
      <c r="A67" s="795"/>
      <c r="B67" s="795"/>
      <c r="C67" s="796"/>
      <c r="D67" s="796"/>
      <c r="E67" s="797"/>
      <c r="F67" s="796"/>
      <c r="G67" s="797"/>
      <c r="H67" s="796"/>
      <c r="I67" s="806" t="str">
        <f t="shared" si="5" ref="I67:I130">LEFT(A67,2)</f>
        <v/>
      </c>
      <c r="J67" s="782" t="str">
        <f t="shared" si="6" ref="J67:J130">LEFT(A67,3)</f>
        <v/>
      </c>
      <c r="K67" s="782" t="str">
        <f t="shared" si="7" ref="K67:K130">LEFT(A67,4)</f>
        <v/>
      </c>
      <c r="L67" s="782" t="str">
        <f t="shared" si="8" ref="L67:L130">LEFT(A67,5)</f>
        <v/>
      </c>
      <c r="M67" s="782" t="str">
        <f t="shared" si="9" ref="M67:M130">LEFT(A67,1)</f>
        <v/>
      </c>
    </row>
    <row r="68" spans="1:13" ht="13.2">
      <c r="A68" s="795"/>
      <c r="B68" s="795"/>
      <c r="C68" s="796"/>
      <c r="D68" s="796"/>
      <c r="E68" s="797"/>
      <c r="F68" s="797"/>
      <c r="G68" s="797"/>
      <c r="H68" s="796"/>
      <c r="I68" s="806" t="str">
        <f t="shared" si="5"/>
        <v/>
      </c>
      <c r="J68" s="782" t="str">
        <f t="shared" si="6"/>
        <v/>
      </c>
      <c r="K68" s="782" t="str">
        <f t="shared" si="7"/>
        <v/>
      </c>
      <c r="L68" s="782" t="str">
        <f t="shared" si="8"/>
        <v/>
      </c>
      <c r="M68" s="782" t="str">
        <f t="shared" si="9"/>
        <v/>
      </c>
    </row>
    <row r="69" spans="1:13" ht="13.2">
      <c r="A69" s="795"/>
      <c r="B69" s="795"/>
      <c r="C69" s="796"/>
      <c r="D69" s="796"/>
      <c r="E69" s="797"/>
      <c r="F69" s="796"/>
      <c r="G69" s="797"/>
      <c r="H69" s="796"/>
      <c r="I69" s="806" t="str">
        <f t="shared" si="5"/>
        <v/>
      </c>
      <c r="J69" s="782" t="str">
        <f t="shared" si="6"/>
        <v/>
      </c>
      <c r="K69" s="782" t="str">
        <f t="shared" si="7"/>
        <v/>
      </c>
      <c r="L69" s="782" t="str">
        <f t="shared" si="8"/>
        <v/>
      </c>
      <c r="M69" s="782" t="str">
        <f t="shared" si="9"/>
        <v/>
      </c>
    </row>
    <row r="70" spans="1:13" ht="13.2">
      <c r="A70" s="795"/>
      <c r="B70" s="795"/>
      <c r="C70" s="796"/>
      <c r="D70" s="796"/>
      <c r="E70" s="797"/>
      <c r="F70" s="796"/>
      <c r="G70" s="797"/>
      <c r="H70" s="796"/>
      <c r="I70" s="806" t="str">
        <f t="shared" si="5"/>
        <v/>
      </c>
      <c r="J70" s="782" t="str">
        <f t="shared" si="6"/>
        <v/>
      </c>
      <c r="K70" s="782" t="str">
        <f t="shared" si="7"/>
        <v/>
      </c>
      <c r="L70" s="782" t="str">
        <f t="shared" si="8"/>
        <v/>
      </c>
      <c r="M70" s="782" t="str">
        <f t="shared" si="9"/>
        <v/>
      </c>
    </row>
    <row r="71" spans="1:13" ht="13.2">
      <c r="A71" s="795"/>
      <c r="B71" s="795"/>
      <c r="C71" s="796"/>
      <c r="D71" s="796"/>
      <c r="E71" s="797"/>
      <c r="F71" s="796"/>
      <c r="G71" s="797"/>
      <c r="H71" s="796"/>
      <c r="I71" s="806" t="str">
        <f t="shared" si="5"/>
        <v/>
      </c>
      <c r="J71" s="782" t="str">
        <f t="shared" si="6"/>
        <v/>
      </c>
      <c r="K71" s="782" t="str">
        <f t="shared" si="7"/>
        <v/>
      </c>
      <c r="L71" s="782" t="str">
        <f t="shared" si="8"/>
        <v/>
      </c>
      <c r="M71" s="782" t="str">
        <f t="shared" si="9"/>
        <v/>
      </c>
    </row>
    <row r="72" spans="1:13" ht="13.2">
      <c r="A72" s="795"/>
      <c r="B72" s="795"/>
      <c r="C72" s="796"/>
      <c r="D72" s="796"/>
      <c r="E72" s="797"/>
      <c r="F72" s="796"/>
      <c r="G72" s="797"/>
      <c r="H72" s="796"/>
      <c r="I72" s="806" t="str">
        <f t="shared" si="5"/>
        <v/>
      </c>
      <c r="J72" s="782" t="str">
        <f t="shared" si="6"/>
        <v/>
      </c>
      <c r="K72" s="782" t="str">
        <f t="shared" si="7"/>
        <v/>
      </c>
      <c r="L72" s="782" t="str">
        <f t="shared" si="8"/>
        <v/>
      </c>
      <c r="M72" s="782" t="str">
        <f t="shared" si="9"/>
        <v/>
      </c>
    </row>
    <row r="73" spans="1:13" ht="13.2">
      <c r="A73" s="795"/>
      <c r="B73" s="795"/>
      <c r="C73" s="796"/>
      <c r="D73" s="796"/>
      <c r="E73" s="797"/>
      <c r="F73" s="796"/>
      <c r="G73" s="797"/>
      <c r="H73" s="796"/>
      <c r="I73" s="806" t="str">
        <f t="shared" si="5"/>
        <v/>
      </c>
      <c r="J73" s="782" t="str">
        <f t="shared" si="6"/>
        <v/>
      </c>
      <c r="K73" s="782" t="str">
        <f t="shared" si="7"/>
        <v/>
      </c>
      <c r="L73" s="782" t="str">
        <f t="shared" si="8"/>
        <v/>
      </c>
      <c r="M73" s="782" t="str">
        <f t="shared" si="9"/>
        <v/>
      </c>
    </row>
    <row r="74" spans="1:13" ht="13.2">
      <c r="A74" s="795"/>
      <c r="B74" s="795"/>
      <c r="C74" s="796"/>
      <c r="D74" s="796"/>
      <c r="E74" s="797"/>
      <c r="F74" s="796"/>
      <c r="G74" s="797"/>
      <c r="H74" s="796"/>
      <c r="I74" s="806" t="str">
        <f t="shared" si="5"/>
        <v/>
      </c>
      <c r="J74" s="782" t="str">
        <f t="shared" si="6"/>
        <v/>
      </c>
      <c r="K74" s="782" t="str">
        <f t="shared" si="7"/>
        <v/>
      </c>
      <c r="L74" s="782" t="str">
        <f t="shared" si="8"/>
        <v/>
      </c>
      <c r="M74" s="782" t="str">
        <f t="shared" si="9"/>
        <v/>
      </c>
    </row>
    <row r="75" spans="1:13" s="798" customFormat="1" ht="13.2">
      <c r="A75" s="795"/>
      <c r="B75" s="795"/>
      <c r="C75" s="796"/>
      <c r="D75" s="796"/>
      <c r="E75" s="797"/>
      <c r="F75" s="796"/>
      <c r="G75" s="797"/>
      <c r="H75" s="796"/>
      <c r="I75" s="806" t="str">
        <f t="shared" si="5"/>
        <v/>
      </c>
      <c r="J75" s="782" t="str">
        <f t="shared" si="6"/>
        <v/>
      </c>
      <c r="K75" s="782" t="str">
        <f t="shared" si="7"/>
        <v/>
      </c>
      <c r="L75" s="782" t="str">
        <f t="shared" si="8"/>
        <v/>
      </c>
      <c r="M75" s="782" t="str">
        <f t="shared" si="9"/>
        <v/>
      </c>
    </row>
    <row r="76" spans="1:13" ht="13.2">
      <c r="A76" s="795"/>
      <c r="B76" s="795"/>
      <c r="C76" s="796"/>
      <c r="D76" s="796"/>
      <c r="E76" s="797"/>
      <c r="F76" s="796"/>
      <c r="G76" s="797"/>
      <c r="H76" s="796"/>
      <c r="I76" s="806" t="str">
        <f t="shared" si="5"/>
        <v/>
      </c>
      <c r="J76" s="782" t="str">
        <f t="shared" si="6"/>
        <v/>
      </c>
      <c r="K76" s="782" t="str">
        <f t="shared" si="7"/>
        <v/>
      </c>
      <c r="L76" s="782" t="str">
        <f t="shared" si="8"/>
        <v/>
      </c>
      <c r="M76" s="782" t="str">
        <f t="shared" si="9"/>
        <v/>
      </c>
    </row>
    <row r="77" spans="1:13" ht="13.2">
      <c r="A77" s="795"/>
      <c r="B77" s="795"/>
      <c r="C77" s="796"/>
      <c r="D77" s="796"/>
      <c r="E77" s="797"/>
      <c r="F77" s="796"/>
      <c r="G77" s="797"/>
      <c r="H77" s="796"/>
      <c r="I77" s="806" t="str">
        <f t="shared" si="5"/>
        <v/>
      </c>
      <c r="J77" s="782" t="str">
        <f t="shared" si="6"/>
        <v/>
      </c>
      <c r="K77" s="782" t="str">
        <f t="shared" si="7"/>
        <v/>
      </c>
      <c r="L77" s="782" t="str">
        <f t="shared" si="8"/>
        <v/>
      </c>
      <c r="M77" s="782" t="str">
        <f t="shared" si="9"/>
        <v/>
      </c>
    </row>
    <row r="78" spans="1:13" ht="13.2">
      <c r="A78" s="795"/>
      <c r="B78" s="795"/>
      <c r="C78" s="796"/>
      <c r="D78" s="796"/>
      <c r="E78" s="797"/>
      <c r="F78" s="796"/>
      <c r="G78" s="797"/>
      <c r="H78" s="796"/>
      <c r="I78" s="806" t="str">
        <f t="shared" si="5"/>
        <v/>
      </c>
      <c r="J78" s="782" t="str">
        <f t="shared" si="6"/>
        <v/>
      </c>
      <c r="K78" s="782" t="str">
        <f t="shared" si="7"/>
        <v/>
      </c>
      <c r="L78" s="782" t="str">
        <f t="shared" si="8"/>
        <v/>
      </c>
      <c r="M78" s="782" t="str">
        <f t="shared" si="9"/>
        <v/>
      </c>
    </row>
    <row r="79" spans="1:13" ht="13.2">
      <c r="A79" s="795"/>
      <c r="B79" s="795"/>
      <c r="C79" s="796"/>
      <c r="D79" s="796"/>
      <c r="E79" s="797"/>
      <c r="F79" s="796"/>
      <c r="G79" s="797"/>
      <c r="H79" s="796"/>
      <c r="I79" s="806" t="str">
        <f t="shared" si="5"/>
        <v/>
      </c>
      <c r="J79" s="782" t="str">
        <f t="shared" si="6"/>
        <v/>
      </c>
      <c r="K79" s="782" t="str">
        <f t="shared" si="7"/>
        <v/>
      </c>
      <c r="L79" s="782" t="str">
        <f t="shared" si="8"/>
        <v/>
      </c>
      <c r="M79" s="782" t="str">
        <f t="shared" si="9"/>
        <v/>
      </c>
    </row>
    <row r="80" spans="1:13" ht="13.2">
      <c r="A80" s="795"/>
      <c r="B80" s="795"/>
      <c r="C80" s="796"/>
      <c r="D80" s="796"/>
      <c r="E80" s="797"/>
      <c r="F80" s="796"/>
      <c r="G80" s="797"/>
      <c r="H80" s="796"/>
      <c r="I80" s="806" t="str">
        <f t="shared" si="5"/>
        <v/>
      </c>
      <c r="J80" s="782" t="str">
        <f t="shared" si="6"/>
        <v/>
      </c>
      <c r="K80" s="782" t="str">
        <f t="shared" si="7"/>
        <v/>
      </c>
      <c r="L80" s="782" t="str">
        <f t="shared" si="8"/>
        <v/>
      </c>
      <c r="M80" s="782" t="str">
        <f t="shared" si="9"/>
        <v/>
      </c>
    </row>
    <row r="81" spans="1:13" ht="13.2">
      <c r="A81" s="795"/>
      <c r="B81" s="795"/>
      <c r="C81" s="796"/>
      <c r="D81" s="796"/>
      <c r="E81" s="797"/>
      <c r="F81" s="796"/>
      <c r="G81" s="797"/>
      <c r="H81" s="796"/>
      <c r="I81" s="806" t="str">
        <f t="shared" si="5"/>
        <v/>
      </c>
      <c r="J81" s="782" t="str">
        <f t="shared" si="6"/>
        <v/>
      </c>
      <c r="K81" s="782" t="str">
        <f t="shared" si="7"/>
        <v/>
      </c>
      <c r="L81" s="782" t="str">
        <f t="shared" si="8"/>
        <v/>
      </c>
      <c r="M81" s="782" t="str">
        <f t="shared" si="9"/>
        <v/>
      </c>
    </row>
    <row r="82" spans="1:13" ht="13.2">
      <c r="A82" s="795"/>
      <c r="B82" s="795"/>
      <c r="C82" s="796"/>
      <c r="D82" s="796"/>
      <c r="E82" s="797"/>
      <c r="F82" s="796"/>
      <c r="G82" s="797"/>
      <c r="H82" s="796"/>
      <c r="I82" s="806" t="str">
        <f t="shared" si="5"/>
        <v/>
      </c>
      <c r="J82" s="782" t="str">
        <f t="shared" si="6"/>
        <v/>
      </c>
      <c r="K82" s="782" t="str">
        <f t="shared" si="7"/>
        <v/>
      </c>
      <c r="L82" s="782" t="str">
        <f t="shared" si="8"/>
        <v/>
      </c>
      <c r="M82" s="782" t="str">
        <f t="shared" si="9"/>
        <v/>
      </c>
    </row>
    <row r="83" spans="1:13" ht="13.2">
      <c r="A83" s="795"/>
      <c r="B83" s="795"/>
      <c r="C83" s="796"/>
      <c r="D83" s="796"/>
      <c r="E83" s="797"/>
      <c r="F83" s="796"/>
      <c r="G83" s="797"/>
      <c r="H83" s="796"/>
      <c r="I83" s="806" t="str">
        <f t="shared" si="5"/>
        <v/>
      </c>
      <c r="J83" s="782" t="str">
        <f t="shared" si="6"/>
        <v/>
      </c>
      <c r="K83" s="782" t="str">
        <f t="shared" si="7"/>
        <v/>
      </c>
      <c r="L83" s="782" t="str">
        <f t="shared" si="8"/>
        <v/>
      </c>
      <c r="M83" s="782" t="str">
        <f t="shared" si="9"/>
        <v/>
      </c>
    </row>
    <row r="84" spans="1:13" ht="13.2">
      <c r="A84" s="795"/>
      <c r="B84" s="795"/>
      <c r="C84" s="796"/>
      <c r="D84" s="796"/>
      <c r="E84" s="797"/>
      <c r="F84" s="796"/>
      <c r="G84" s="797"/>
      <c r="H84" s="796"/>
      <c r="I84" s="806" t="str">
        <f t="shared" si="5"/>
        <v/>
      </c>
      <c r="J84" s="782" t="str">
        <f t="shared" si="6"/>
        <v/>
      </c>
      <c r="K84" s="782" t="str">
        <f t="shared" si="7"/>
        <v/>
      </c>
      <c r="L84" s="782" t="str">
        <f t="shared" si="8"/>
        <v/>
      </c>
      <c r="M84" s="782" t="str">
        <f t="shared" si="9"/>
        <v/>
      </c>
    </row>
    <row r="85" spans="1:13" ht="13.2">
      <c r="A85" s="795"/>
      <c r="B85" s="795"/>
      <c r="C85" s="796"/>
      <c r="D85" s="796"/>
      <c r="E85" s="797"/>
      <c r="F85" s="796"/>
      <c r="G85" s="797"/>
      <c r="H85" s="796"/>
      <c r="I85" s="806" t="str">
        <f t="shared" si="5"/>
        <v/>
      </c>
      <c r="J85" s="782" t="str">
        <f t="shared" si="6"/>
        <v/>
      </c>
      <c r="K85" s="782" t="str">
        <f t="shared" si="7"/>
        <v/>
      </c>
      <c r="L85" s="782" t="str">
        <f t="shared" si="8"/>
        <v/>
      </c>
      <c r="M85" s="782" t="str">
        <f t="shared" si="9"/>
        <v/>
      </c>
    </row>
    <row r="86" spans="1:13" ht="13.2">
      <c r="A86" s="795"/>
      <c r="B86" s="795"/>
      <c r="C86" s="796"/>
      <c r="D86" s="796"/>
      <c r="E86" s="797"/>
      <c r="F86" s="796"/>
      <c r="G86" s="797"/>
      <c r="H86" s="796"/>
      <c r="I86" s="806" t="str">
        <f t="shared" si="5"/>
        <v/>
      </c>
      <c r="J86" s="782" t="str">
        <f t="shared" si="6"/>
        <v/>
      </c>
      <c r="K86" s="782" t="str">
        <f t="shared" si="7"/>
        <v/>
      </c>
      <c r="L86" s="782" t="str">
        <f t="shared" si="8"/>
        <v/>
      </c>
      <c r="M86" s="782" t="str">
        <f t="shared" si="9"/>
        <v/>
      </c>
    </row>
    <row r="87" spans="1:13" ht="13.2">
      <c r="A87" s="795"/>
      <c r="B87" s="795"/>
      <c r="C87" s="796"/>
      <c r="D87" s="796"/>
      <c r="E87" s="797"/>
      <c r="F87" s="796"/>
      <c r="G87" s="797"/>
      <c r="H87" s="796"/>
      <c r="I87" s="806" t="str">
        <f t="shared" si="5"/>
        <v/>
      </c>
      <c r="J87" s="782" t="str">
        <f t="shared" si="6"/>
        <v/>
      </c>
      <c r="K87" s="782" t="str">
        <f t="shared" si="7"/>
        <v/>
      </c>
      <c r="L87" s="782" t="str">
        <f t="shared" si="8"/>
        <v/>
      </c>
      <c r="M87" s="782" t="str">
        <f t="shared" si="9"/>
        <v/>
      </c>
    </row>
    <row r="88" spans="1:13" ht="13.2">
      <c r="A88" s="795"/>
      <c r="B88" s="795"/>
      <c r="C88" s="796"/>
      <c r="D88" s="796"/>
      <c r="E88" s="797"/>
      <c r="F88" s="796"/>
      <c r="G88" s="797"/>
      <c r="H88" s="796"/>
      <c r="I88" s="806" t="str">
        <f t="shared" si="5"/>
        <v/>
      </c>
      <c r="J88" s="782" t="str">
        <f t="shared" si="6"/>
        <v/>
      </c>
      <c r="K88" s="782" t="str">
        <f t="shared" si="7"/>
        <v/>
      </c>
      <c r="L88" s="782" t="str">
        <f t="shared" si="8"/>
        <v/>
      </c>
      <c r="M88" s="782" t="str">
        <f t="shared" si="9"/>
        <v/>
      </c>
    </row>
    <row r="89" spans="1:13" ht="13.2">
      <c r="A89" s="795"/>
      <c r="B89" s="795"/>
      <c r="C89" s="796"/>
      <c r="D89" s="796"/>
      <c r="E89" s="797"/>
      <c r="F89" s="797"/>
      <c r="G89" s="797"/>
      <c r="H89" s="796"/>
      <c r="I89" s="806" t="str">
        <f t="shared" si="5"/>
        <v/>
      </c>
      <c r="J89" s="782" t="str">
        <f t="shared" si="6"/>
        <v/>
      </c>
      <c r="K89" s="782" t="str">
        <f t="shared" si="7"/>
        <v/>
      </c>
      <c r="L89" s="782" t="str">
        <f t="shared" si="8"/>
        <v/>
      </c>
      <c r="M89" s="782" t="str">
        <f t="shared" si="9"/>
        <v/>
      </c>
    </row>
    <row r="90" spans="1:13" ht="13.2">
      <c r="A90" s="795"/>
      <c r="B90" s="795"/>
      <c r="C90" s="796"/>
      <c r="D90" s="796"/>
      <c r="E90" s="797"/>
      <c r="F90" s="797"/>
      <c r="G90" s="797"/>
      <c r="H90" s="796"/>
      <c r="I90" s="806" t="str">
        <f t="shared" si="5"/>
        <v/>
      </c>
      <c r="J90" s="782" t="str">
        <f t="shared" si="6"/>
        <v/>
      </c>
      <c r="K90" s="782" t="str">
        <f t="shared" si="7"/>
        <v/>
      </c>
      <c r="L90" s="782" t="str">
        <f t="shared" si="8"/>
        <v/>
      </c>
      <c r="M90" s="782" t="str">
        <f t="shared" si="9"/>
        <v/>
      </c>
    </row>
    <row r="91" spans="1:13" ht="13.2">
      <c r="A91" s="795"/>
      <c r="B91" s="795"/>
      <c r="C91" s="796"/>
      <c r="D91" s="796"/>
      <c r="E91" s="797"/>
      <c r="F91" s="796"/>
      <c r="G91" s="797"/>
      <c r="H91" s="796"/>
      <c r="I91" s="806" t="str">
        <f t="shared" si="5"/>
        <v/>
      </c>
      <c r="J91" s="782" t="str">
        <f t="shared" si="6"/>
        <v/>
      </c>
      <c r="K91" s="782" t="str">
        <f t="shared" si="7"/>
        <v/>
      </c>
      <c r="L91" s="782" t="str">
        <f t="shared" si="8"/>
        <v/>
      </c>
      <c r="M91" s="782" t="str">
        <f t="shared" si="9"/>
        <v/>
      </c>
    </row>
    <row r="92" spans="1:13" ht="13.2">
      <c r="A92" s="795"/>
      <c r="B92" s="795"/>
      <c r="C92" s="796"/>
      <c r="D92" s="796"/>
      <c r="E92" s="797"/>
      <c r="F92" s="796"/>
      <c r="G92" s="797"/>
      <c r="H92" s="796"/>
      <c r="I92" s="806" t="str">
        <f t="shared" si="5"/>
        <v/>
      </c>
      <c r="J92" s="782" t="str">
        <f t="shared" si="6"/>
        <v/>
      </c>
      <c r="K92" s="782" t="str">
        <f t="shared" si="7"/>
        <v/>
      </c>
      <c r="L92" s="782" t="str">
        <f t="shared" si="8"/>
        <v/>
      </c>
      <c r="M92" s="782" t="str">
        <f t="shared" si="9"/>
        <v/>
      </c>
    </row>
    <row r="93" spans="1:13" ht="13.2">
      <c r="A93" s="795"/>
      <c r="B93" s="795"/>
      <c r="C93" s="796"/>
      <c r="D93" s="796"/>
      <c r="E93" s="797"/>
      <c r="F93" s="796"/>
      <c r="G93" s="797"/>
      <c r="H93" s="796"/>
      <c r="I93" s="806" t="str">
        <f t="shared" si="5"/>
        <v/>
      </c>
      <c r="J93" s="782" t="str">
        <f t="shared" si="6"/>
        <v/>
      </c>
      <c r="K93" s="782" t="str">
        <f t="shared" si="7"/>
        <v/>
      </c>
      <c r="L93" s="782" t="str">
        <f t="shared" si="8"/>
        <v/>
      </c>
      <c r="M93" s="782" t="str">
        <f t="shared" si="9"/>
        <v/>
      </c>
    </row>
    <row r="94" spans="1:13" ht="13.2">
      <c r="A94" s="795"/>
      <c r="B94" s="795"/>
      <c r="C94" s="796"/>
      <c r="D94" s="796"/>
      <c r="E94" s="797"/>
      <c r="F94" s="796"/>
      <c r="G94" s="797"/>
      <c r="H94" s="796"/>
      <c r="I94" s="806" t="str">
        <f t="shared" si="5"/>
        <v/>
      </c>
      <c r="J94" s="782" t="str">
        <f t="shared" si="6"/>
        <v/>
      </c>
      <c r="K94" s="782" t="str">
        <f t="shared" si="7"/>
        <v/>
      </c>
      <c r="L94" s="782" t="str">
        <f t="shared" si="8"/>
        <v/>
      </c>
      <c r="M94" s="782" t="str">
        <f t="shared" si="9"/>
        <v/>
      </c>
    </row>
    <row r="95" spans="1:13" ht="13.2">
      <c r="A95" s="795"/>
      <c r="B95" s="795"/>
      <c r="C95" s="796"/>
      <c r="D95" s="796"/>
      <c r="E95" s="797"/>
      <c r="F95" s="796"/>
      <c r="G95" s="797"/>
      <c r="H95" s="796"/>
      <c r="I95" s="806" t="str">
        <f t="shared" si="5"/>
        <v/>
      </c>
      <c r="J95" s="782" t="str">
        <f t="shared" si="6"/>
        <v/>
      </c>
      <c r="K95" s="782" t="str">
        <f t="shared" si="7"/>
        <v/>
      </c>
      <c r="L95" s="782" t="str">
        <f t="shared" si="8"/>
        <v/>
      </c>
      <c r="M95" s="782" t="str">
        <f t="shared" si="9"/>
        <v/>
      </c>
    </row>
    <row r="96" spans="1:13" ht="13.2">
      <c r="A96" s="795"/>
      <c r="B96" s="795"/>
      <c r="C96" s="796"/>
      <c r="D96" s="796"/>
      <c r="E96" s="797"/>
      <c r="F96" s="796"/>
      <c r="G96" s="797"/>
      <c r="H96" s="796"/>
      <c r="I96" s="806" t="str">
        <f t="shared" si="5"/>
        <v/>
      </c>
      <c r="J96" s="782" t="str">
        <f t="shared" si="6"/>
        <v/>
      </c>
      <c r="K96" s="782" t="str">
        <f t="shared" si="7"/>
        <v/>
      </c>
      <c r="L96" s="782" t="str">
        <f t="shared" si="8"/>
        <v/>
      </c>
      <c r="M96" s="782" t="str">
        <f t="shared" si="9"/>
        <v/>
      </c>
    </row>
    <row r="97" spans="1:13" ht="13.2">
      <c r="A97" s="795"/>
      <c r="B97" s="795"/>
      <c r="C97" s="796"/>
      <c r="D97" s="796"/>
      <c r="E97" s="797"/>
      <c r="F97" s="796"/>
      <c r="G97" s="797"/>
      <c r="H97" s="796"/>
      <c r="I97" s="806" t="str">
        <f t="shared" si="5"/>
        <v/>
      </c>
      <c r="J97" s="782" t="str">
        <f t="shared" si="6"/>
        <v/>
      </c>
      <c r="K97" s="782" t="str">
        <f t="shared" si="7"/>
        <v/>
      </c>
      <c r="L97" s="782" t="str">
        <f t="shared" si="8"/>
        <v/>
      </c>
      <c r="M97" s="782" t="str">
        <f t="shared" si="9"/>
        <v/>
      </c>
    </row>
    <row r="98" spans="1:13" ht="13.2">
      <c r="A98" s="795"/>
      <c r="B98" s="795"/>
      <c r="C98" s="796"/>
      <c r="D98" s="796"/>
      <c r="E98" s="797"/>
      <c r="F98" s="796"/>
      <c r="G98" s="797"/>
      <c r="H98" s="796"/>
      <c r="I98" s="806" t="str">
        <f t="shared" si="5"/>
        <v/>
      </c>
      <c r="J98" s="782" t="str">
        <f t="shared" si="6"/>
        <v/>
      </c>
      <c r="K98" s="782" t="str">
        <f t="shared" si="7"/>
        <v/>
      </c>
      <c r="L98" s="782" t="str">
        <f t="shared" si="8"/>
        <v/>
      </c>
      <c r="M98" s="782" t="str">
        <f t="shared" si="9"/>
        <v/>
      </c>
    </row>
    <row r="99" spans="1:13" ht="13.2">
      <c r="A99" s="795"/>
      <c r="B99" s="795"/>
      <c r="C99" s="796"/>
      <c r="D99" s="796"/>
      <c r="E99" s="797"/>
      <c r="F99" s="796"/>
      <c r="G99" s="797"/>
      <c r="H99" s="796"/>
      <c r="I99" s="806" t="str">
        <f t="shared" si="5"/>
        <v/>
      </c>
      <c r="J99" s="782" t="str">
        <f t="shared" si="6"/>
        <v/>
      </c>
      <c r="K99" s="782" t="str">
        <f t="shared" si="7"/>
        <v/>
      </c>
      <c r="L99" s="782" t="str">
        <f t="shared" si="8"/>
        <v/>
      </c>
      <c r="M99" s="782" t="str">
        <f t="shared" si="9"/>
        <v/>
      </c>
    </row>
    <row r="100" spans="1:13" ht="13.2">
      <c r="A100" s="795"/>
      <c r="B100" s="795"/>
      <c r="C100" s="796"/>
      <c r="D100" s="796"/>
      <c r="E100" s="797"/>
      <c r="F100" s="796"/>
      <c r="G100" s="797"/>
      <c r="H100" s="796"/>
      <c r="I100" s="806" t="str">
        <f t="shared" si="5"/>
        <v/>
      </c>
      <c r="J100" s="782" t="str">
        <f t="shared" si="6"/>
        <v/>
      </c>
      <c r="K100" s="782" t="str">
        <f t="shared" si="7"/>
        <v/>
      </c>
      <c r="L100" s="782" t="str">
        <f t="shared" si="8"/>
        <v/>
      </c>
      <c r="M100" s="782" t="str">
        <f t="shared" si="9"/>
        <v/>
      </c>
    </row>
    <row r="101" spans="1:13" ht="13.2">
      <c r="A101" s="795"/>
      <c r="B101" s="795"/>
      <c r="C101" s="796"/>
      <c r="D101" s="796"/>
      <c r="E101" s="797"/>
      <c r="F101" s="796"/>
      <c r="G101" s="797"/>
      <c r="H101" s="796"/>
      <c r="I101" s="806" t="str">
        <f t="shared" si="5"/>
        <v/>
      </c>
      <c r="J101" s="782" t="str">
        <f t="shared" si="6"/>
        <v/>
      </c>
      <c r="K101" s="782" t="str">
        <f t="shared" si="7"/>
        <v/>
      </c>
      <c r="L101" s="782" t="str">
        <f t="shared" si="8"/>
        <v/>
      </c>
      <c r="M101" s="782" t="str">
        <f t="shared" si="9"/>
        <v/>
      </c>
    </row>
    <row r="102" spans="1:13" ht="13.2">
      <c r="A102" s="795"/>
      <c r="B102" s="795"/>
      <c r="C102" s="796"/>
      <c r="D102" s="796"/>
      <c r="E102" s="797"/>
      <c r="F102" s="796"/>
      <c r="G102" s="797"/>
      <c r="H102" s="796"/>
      <c r="I102" s="806" t="str">
        <f t="shared" si="5"/>
        <v/>
      </c>
      <c r="J102" s="782" t="str">
        <f t="shared" si="6"/>
        <v/>
      </c>
      <c r="K102" s="782" t="str">
        <f t="shared" si="7"/>
        <v/>
      </c>
      <c r="L102" s="782" t="str">
        <f t="shared" si="8"/>
        <v/>
      </c>
      <c r="M102" s="782" t="str">
        <f t="shared" si="9"/>
        <v/>
      </c>
    </row>
    <row r="103" spans="1:13" ht="13.2">
      <c r="A103" s="795"/>
      <c r="B103" s="795"/>
      <c r="C103" s="796"/>
      <c r="D103" s="796"/>
      <c r="E103" s="797"/>
      <c r="F103" s="796"/>
      <c r="G103" s="797"/>
      <c r="H103" s="796"/>
      <c r="I103" s="806" t="str">
        <f t="shared" si="5"/>
        <v/>
      </c>
      <c r="J103" s="782" t="str">
        <f t="shared" si="6"/>
        <v/>
      </c>
      <c r="K103" s="782" t="str">
        <f t="shared" si="7"/>
        <v/>
      </c>
      <c r="L103" s="782" t="str">
        <f t="shared" si="8"/>
        <v/>
      </c>
      <c r="M103" s="782" t="str">
        <f t="shared" si="9"/>
        <v/>
      </c>
    </row>
    <row r="104" spans="1:13" ht="13.2">
      <c r="A104" s="795"/>
      <c r="B104" s="795"/>
      <c r="C104" s="796"/>
      <c r="D104" s="796"/>
      <c r="E104" s="797"/>
      <c r="F104" s="796"/>
      <c r="G104" s="797"/>
      <c r="H104" s="796"/>
      <c r="I104" s="806" t="str">
        <f t="shared" si="5"/>
        <v/>
      </c>
      <c r="J104" s="782" t="str">
        <f t="shared" si="6"/>
        <v/>
      </c>
      <c r="K104" s="782" t="str">
        <f t="shared" si="7"/>
        <v/>
      </c>
      <c r="L104" s="782" t="str">
        <f t="shared" si="8"/>
        <v/>
      </c>
      <c r="M104" s="782" t="str">
        <f t="shared" si="9"/>
        <v/>
      </c>
    </row>
    <row r="105" spans="1:13" ht="13.2">
      <c r="A105" s="795"/>
      <c r="B105" s="795"/>
      <c r="C105" s="796"/>
      <c r="D105" s="796"/>
      <c r="E105" s="797"/>
      <c r="F105" s="796"/>
      <c r="G105" s="797"/>
      <c r="H105" s="796"/>
      <c r="I105" s="806" t="str">
        <f t="shared" si="5"/>
        <v/>
      </c>
      <c r="J105" s="782" t="str">
        <f t="shared" si="6"/>
        <v/>
      </c>
      <c r="K105" s="782" t="str">
        <f t="shared" si="7"/>
        <v/>
      </c>
      <c r="L105" s="782" t="str">
        <f t="shared" si="8"/>
        <v/>
      </c>
      <c r="M105" s="782" t="str">
        <f t="shared" si="9"/>
        <v/>
      </c>
    </row>
    <row r="106" spans="1:13" ht="13.2">
      <c r="A106" s="795"/>
      <c r="B106" s="795"/>
      <c r="C106" s="796"/>
      <c r="D106" s="796"/>
      <c r="E106" s="797"/>
      <c r="F106" s="796"/>
      <c r="G106" s="797"/>
      <c r="H106" s="796"/>
      <c r="I106" s="806" t="str">
        <f t="shared" si="5"/>
        <v/>
      </c>
      <c r="J106" s="782" t="str">
        <f t="shared" si="6"/>
        <v/>
      </c>
      <c r="K106" s="782" t="str">
        <f t="shared" si="7"/>
        <v/>
      </c>
      <c r="L106" s="782" t="str">
        <f t="shared" si="8"/>
        <v/>
      </c>
      <c r="M106" s="782" t="str">
        <f t="shared" si="9"/>
        <v/>
      </c>
    </row>
    <row r="107" spans="1:13" ht="13.2">
      <c r="A107" s="795"/>
      <c r="B107" s="795"/>
      <c r="C107" s="796"/>
      <c r="D107" s="796"/>
      <c r="E107" s="797"/>
      <c r="F107" s="796"/>
      <c r="G107" s="797"/>
      <c r="H107" s="796"/>
      <c r="I107" s="806" t="str">
        <f t="shared" si="5"/>
        <v/>
      </c>
      <c r="J107" s="782" t="str">
        <f t="shared" si="6"/>
        <v/>
      </c>
      <c r="K107" s="782" t="str">
        <f t="shared" si="7"/>
        <v/>
      </c>
      <c r="L107" s="782" t="str">
        <f t="shared" si="8"/>
        <v/>
      </c>
      <c r="M107" s="782" t="str">
        <f t="shared" si="9"/>
        <v/>
      </c>
    </row>
    <row r="108" spans="1:13" ht="13.2">
      <c r="A108" s="795"/>
      <c r="B108" s="795"/>
      <c r="C108" s="796"/>
      <c r="D108" s="796"/>
      <c r="E108" s="797"/>
      <c r="F108" s="796"/>
      <c r="G108" s="797"/>
      <c r="H108" s="796"/>
      <c r="I108" s="806" t="str">
        <f t="shared" si="5"/>
        <v/>
      </c>
      <c r="J108" s="782" t="str">
        <f t="shared" si="6"/>
        <v/>
      </c>
      <c r="K108" s="782" t="str">
        <f t="shared" si="7"/>
        <v/>
      </c>
      <c r="L108" s="782" t="str">
        <f t="shared" si="8"/>
        <v/>
      </c>
      <c r="M108" s="782" t="str">
        <f t="shared" si="9"/>
        <v/>
      </c>
    </row>
    <row r="109" spans="1:13" ht="13.2">
      <c r="A109" s="795"/>
      <c r="B109" s="795"/>
      <c r="C109" s="796"/>
      <c r="D109" s="796"/>
      <c r="E109" s="797"/>
      <c r="F109" s="796"/>
      <c r="G109" s="797"/>
      <c r="H109" s="796"/>
      <c r="I109" s="806" t="str">
        <f t="shared" si="5"/>
        <v/>
      </c>
      <c r="J109" s="782" t="str">
        <f t="shared" si="6"/>
        <v/>
      </c>
      <c r="K109" s="782" t="str">
        <f t="shared" si="7"/>
        <v/>
      </c>
      <c r="L109" s="782" t="str">
        <f t="shared" si="8"/>
        <v/>
      </c>
      <c r="M109" s="782" t="str">
        <f t="shared" si="9"/>
        <v/>
      </c>
    </row>
    <row r="110" spans="1:13" ht="13.2">
      <c r="A110" s="795"/>
      <c r="B110" s="795"/>
      <c r="C110" s="796"/>
      <c r="D110" s="796"/>
      <c r="E110" s="797"/>
      <c r="F110" s="796"/>
      <c r="G110" s="797"/>
      <c r="H110" s="796"/>
      <c r="I110" s="806" t="str">
        <f t="shared" si="5"/>
        <v/>
      </c>
      <c r="J110" s="782" t="str">
        <f t="shared" si="6"/>
        <v/>
      </c>
      <c r="K110" s="782" t="str">
        <f t="shared" si="7"/>
        <v/>
      </c>
      <c r="L110" s="782" t="str">
        <f t="shared" si="8"/>
        <v/>
      </c>
      <c r="M110" s="782" t="str">
        <f t="shared" si="9"/>
        <v/>
      </c>
    </row>
    <row r="111" spans="1:13" ht="13.2">
      <c r="A111" s="795"/>
      <c r="B111" s="795"/>
      <c r="C111" s="796"/>
      <c r="D111" s="796"/>
      <c r="E111" s="796"/>
      <c r="F111" s="797"/>
      <c r="G111" s="796"/>
      <c r="H111" s="797"/>
      <c r="I111" s="806" t="str">
        <f t="shared" si="5"/>
        <v/>
      </c>
      <c r="J111" s="782" t="str">
        <f t="shared" si="6"/>
        <v/>
      </c>
      <c r="K111" s="782" t="str">
        <f t="shared" si="7"/>
        <v/>
      </c>
      <c r="L111" s="782" t="str">
        <f t="shared" si="8"/>
        <v/>
      </c>
      <c r="M111" s="782" t="str">
        <f t="shared" si="9"/>
        <v/>
      </c>
    </row>
    <row r="112" spans="1:13" ht="13.2">
      <c r="A112" s="795"/>
      <c r="B112" s="795"/>
      <c r="C112" s="796"/>
      <c r="D112" s="796"/>
      <c r="E112" s="797"/>
      <c r="F112" s="796"/>
      <c r="G112" s="797"/>
      <c r="H112" s="796"/>
      <c r="I112" s="806" t="str">
        <f t="shared" si="5"/>
        <v/>
      </c>
      <c r="J112" s="782" t="str">
        <f t="shared" si="6"/>
        <v/>
      </c>
      <c r="K112" s="782" t="str">
        <f t="shared" si="7"/>
        <v/>
      </c>
      <c r="L112" s="782" t="str">
        <f t="shared" si="8"/>
        <v/>
      </c>
      <c r="M112" s="782" t="str">
        <f t="shared" si="9"/>
        <v/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0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0</v>
      </c>
      <c r="L8" s="299">
        <f>+SUMIF('BAL N'!J:J,"=101",'BAL N'!D:D)+SUMIF('BAL N'!J:J,"=102",'BAL N'!D:D)+SUMIF('BAL N'!J:J,"=103",'BAL N'!D:D)+SUMIF('BAL N'!J:J,"=104",'BAL N'!D:D)</f>
        <v>0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0</v>
      </c>
      <c r="L12" s="810">
        <f>+SUMIF('BAL N'!J:J,"=111",'BAL N'!D:D)+SUMIF('BAL N'!J:J,"=112",'BAL N'!D:D)+SUMIF('BAL N'!J:J,"=113",'BAL N'!D:D)</f>
        <v>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0</v>
      </c>
      <c r="E13" s="575">
        <f>SUM(E14:E19)</f>
        <v>0</v>
      </c>
      <c r="F13" s="575">
        <f>SUM(F14:F19)</f>
        <v>0</v>
      </c>
      <c r="G13" s="575">
        <f>SUM(G14:G19)</f>
        <v>0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0</v>
      </c>
      <c r="L13" s="810">
        <f>+SUMIF('BAL N'!J:J,"=118",'BAL N'!D:D)</f>
        <v>0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0</v>
      </c>
      <c r="E14" s="16">
        <f>+SUMIF('BAL N'!J:J,"=282",'BAL N'!H:H)+SUMIF('BAL N'!J:J,"=292",'BAL N'!H:H)</f>
        <v>0</v>
      </c>
      <c r="F14" s="17">
        <f t="shared" si="0" ref="F14:F19">+D14-E14</f>
        <v>0</v>
      </c>
      <c r="G14" s="15">
        <f>+SUMIF('BAL N'!I:I,"=22",'BAL N'!C:C)-(SUMIF('BAL N'!J:J,"=282",'BAL N'!D:D)+SUMIF('BAL N'!J:J,"=292",'BAL N'!D:D))</f>
        <v>0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0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258</v>
      </c>
      <c r="I18" s="29" t="s">
        <v>259</v>
      </c>
      <c r="J18" s="30"/>
      <c r="K18" s="31">
        <f>SUM(K8:K17)</f>
        <v>0</v>
      </c>
      <c r="L18" s="31">
        <f>SUM(L8:L17)</f>
        <v>0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0</v>
      </c>
      <c r="E20" s="578">
        <f>SUM(E21:E22)</f>
        <v>0</v>
      </c>
      <c r="F20" s="578">
        <f>SUM(F21:F22)</f>
        <v>0</v>
      </c>
      <c r="G20" s="578">
        <f>SUM(G21:G22)</f>
        <v>0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0</v>
      </c>
      <c r="E23" s="579">
        <f>+E20+E13+E8</f>
        <v>0</v>
      </c>
      <c r="F23" s="579">
        <f>+F20+F13+F8</f>
        <v>0</v>
      </c>
      <c r="G23" s="579">
        <f>+G20+G13+G8</f>
        <v>0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N'!I:I,"=40",'BAL N'!C:C)-SUMIF('BAL N'!J:J,"=490",'BAL N'!D:D)-SUMIF('BAL N'!J:J,"409",'BAL N'!D:D)</f>
        <v>0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0</v>
      </c>
      <c r="E30" s="579">
        <f>SUM(E24:E29)</f>
        <v>0</v>
      </c>
      <c r="F30" s="579">
        <f>SUM(F24:F29)</f>
        <v>0</v>
      </c>
      <c r="G30" s="579">
        <f>SUM(G24:G29)</f>
        <v>0</v>
      </c>
      <c r="H30" s="34" t="s">
        <v>304</v>
      </c>
      <c r="I30" s="35" t="s">
        <v>305</v>
      </c>
      <c r="J30" s="36"/>
      <c r="K30" s="37">
        <f>SUM(K24:K29)</f>
        <v>0</v>
      </c>
      <c r="L30" s="37">
        <f>SUM(L24:L29)</f>
        <v>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0</v>
      </c>
      <c r="E34" s="579">
        <f>SUM(E31:E33)</f>
        <v>0</v>
      </c>
      <c r="F34" s="579">
        <f>SUM(F31:F33)</f>
        <v>0</v>
      </c>
      <c r="G34" s="579">
        <f>SUM(G31:G33)</f>
        <v>0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0</v>
      </c>
      <c r="E36" s="579">
        <f>+E34+E30+E23</f>
        <v>0</v>
      </c>
      <c r="F36" s="579">
        <f>+F34+F30+F23</f>
        <v>0</v>
      </c>
      <c r="G36" s="579">
        <f>+G34+G30+G23</f>
        <v>0</v>
      </c>
      <c r="H36" s="34" t="s">
        <v>325</v>
      </c>
      <c r="I36" s="35" t="s">
        <v>324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0</v>
      </c>
      <c r="F10" s="37">
        <f>+F14-F8-F9</f>
        <v>0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0</v>
      </c>
      <c r="F11" s="51">
        <f>+SUMIF('BAL N-1'!J:J,"=702",'BAL N-1'!H:H)+SUMIF('BAL N-1'!J:J,"=703",'BAL N-1'!H:H)+SUMIF('BAL N-1'!J:J,"=704",'BAL N-1'!H:H)</f>
        <v>0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0</v>
      </c>
      <c r="F14" s="37">
        <f>+F7+F13+F12+F11</f>
        <v>0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0</v>
      </c>
      <c r="F20" s="51">
        <f>+SUMIF('BAL N-1'!J:J,"=602",'BAL N-1'!G:G)</f>
        <v>0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0</v>
      </c>
      <c r="F21" s="51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0</v>
      </c>
      <c r="F22" s="51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0</v>
      </c>
      <c r="F24" s="51">
        <f>+SUMIF('BAL N-1'!I:I,"=61",'BAL N-1'!G:G)</f>
        <v>0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0</v>
      </c>
      <c r="F25" s="51">
        <f>+SUMIF('BAL N-1'!I:I,"=62",'BAL N-1'!G:G)+SUMIF('BAL N-1'!I:I,"=63",'BAL N-1'!G:G)</f>
        <v>0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0</v>
      </c>
      <c r="F26" s="51">
        <f>+SUMIF('BAL N-1'!I:I,"=64",'BAL N-1'!G:G)</f>
        <v>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0</v>
      </c>
      <c r="F27" s="51">
        <f>+SUMIF('BAL N-1'!I:I,"=65",'BAL N-1'!G:G)</f>
        <v>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0</v>
      </c>
      <c r="F29" s="51">
        <f>+SUMIF('BAL N-1'!I:I,"=66",'BAL N-1'!G:G)</f>
        <v>0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0</v>
      </c>
      <c r="F30" s="37">
        <f>+F28-F29</f>
        <v>0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0</v>
      </c>
      <c r="F32" s="609">
        <f>+SUMIF('BAL N-1'!J:J,"=681",'BAL N-1'!G:G)+SUMIF('BAL N-1'!J:J,"=691",'BAL N-1'!G:G)</f>
        <v>0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0</v>
      </c>
      <c r="F33" s="37">
        <f>+F30+F31-F32</f>
        <v>0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0</v>
      </c>
      <c r="F40" s="31">
        <f>+F33+F39</f>
        <v>0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0</v>
      </c>
      <c r="F47" s="51">
        <f>+SUMIF('BAL N-1'!I:I,"=89",'BAL N-1'!G:G)</f>
        <v>0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0</v>
      </c>
      <c r="F48" s="37">
        <f>+F40+F45-F46-F47</f>
        <v>0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0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0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0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0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0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0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0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0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0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0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0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0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0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0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0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0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0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0</v>
      </c>
      <c r="C16" s="811"/>
      <c r="D16" s="811"/>
      <c r="E16" s="811"/>
      <c r="F16" s="811"/>
      <c r="G16" s="811"/>
      <c r="H16" s="811">
        <f t="shared" si="0"/>
        <v>0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0</v>
      </c>
      <c r="C18" s="816"/>
      <c r="D18" s="816"/>
      <c r="E18" s="816"/>
      <c r="F18" s="816"/>
      <c r="G18" s="816"/>
      <c r="H18" s="811">
        <f t="shared" si="0"/>
        <v>0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0</v>
      </c>
      <c r="C20" s="816"/>
      <c r="D20" s="816"/>
      <c r="E20" s="816"/>
      <c r="F20" s="816"/>
      <c r="G20" s="816"/>
      <c r="H20" s="811">
        <f t="shared" si="0"/>
        <v>0</v>
      </c>
    </row>
    <row r="21" spans="1:8" ht="13.8">
      <c r="A21" s="815" t="s">
        <v>253</v>
      </c>
      <c r="B21" s="816">
        <f>+SUMIF('BAL N'!I:I,"=24",'BAL N'!G:G)-SUMIF('BAL N'!J:J,"=245",'BAL N'!G:G)</f>
        <v>0</v>
      </c>
      <c r="C21" s="816"/>
      <c r="D21" s="816"/>
      <c r="E21" s="816"/>
      <c r="F21" s="816"/>
      <c r="G21" s="816"/>
      <c r="H21" s="811">
        <f t="shared" si="0"/>
        <v>0</v>
      </c>
    </row>
    <row r="22" spans="1:8" ht="13.8">
      <c r="A22" s="815" t="s">
        <v>257</v>
      </c>
      <c r="B22" s="816">
        <f>+SUMIF('BAL N'!J:J,"=245",'BAL N'!G:G)</f>
        <v>0</v>
      </c>
      <c r="C22" s="816"/>
      <c r="D22" s="816"/>
      <c r="E22" s="816"/>
      <c r="F22" s="816"/>
      <c r="G22" s="816"/>
      <c r="H22" s="811">
        <f t="shared" si="0"/>
        <v>0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0</v>
      </c>
      <c r="C26" s="816"/>
      <c r="D26" s="816"/>
      <c r="E26" s="816"/>
      <c r="F26" s="816"/>
      <c r="G26" s="816"/>
      <c r="H26" s="811">
        <f t="shared" si="0"/>
        <v>0</v>
      </c>
    </row>
    <row r="27" spans="1:8" ht="20.1" customHeight="1">
      <c r="A27" s="818" t="s">
        <v>324</v>
      </c>
      <c r="B27" s="819">
        <f t="shared" si="1" ref="B27:G27">SUM(B11:B26)</f>
        <v>0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0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0</v>
      </c>
      <c r="C15" s="267">
        <f>+SUMIF('BAL N'!J:J,"=282",'BAL N'!F:F)-SUMIF('BAL N'!K:K,"=2828",'BAL N'!F:F)</f>
        <v>0</v>
      </c>
      <c r="D15" s="267">
        <f>+SUMIF('BAL N'!J:J,"=282",'BAL N'!E:E)-SUMIF('BAL N'!K:K,"=2828",'BAL N'!E:E)</f>
        <v>0</v>
      </c>
      <c r="E15" s="153">
        <f t="shared" si="0"/>
        <v>0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0</v>
      </c>
      <c r="C17" s="267">
        <f>+SUMIF('BAL N'!J:J,"=283",'BAL N'!F:F)-SUMIF('BAL N'!L:L,"=28315",'BAL N'!F:F)-SUMIF('BAL N'!L:L,"=28325",'BAL N'!F:F)</f>
        <v>0</v>
      </c>
      <c r="D17" s="267">
        <f>+SUMIF('BAL N'!J:J,"=283",'BAL N'!E:E)-SUMIF('BAL N'!L:L,"=28315",'BAL N'!E:E)-SUMIF('BAL N'!L:L,"=28325",'BAL N'!E:E)</f>
        <v>0</v>
      </c>
      <c r="E17" s="153">
        <f t="shared" si="0"/>
        <v>0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0</v>
      </c>
      <c r="C19" s="267">
        <f>+SUMIF('BAL N'!K:K,"=2834",'BAL N'!F:F)+SUMIF('BAL N'!K:K,"=2835",'BAL N'!F:F)</f>
        <v>0</v>
      </c>
      <c r="D19" s="267">
        <f>+SUMIF('BAL N'!K:K,"=2834",'BAL N'!E:E)+SUMIF('BAL N'!K:K,"=2835",'BAL N'!E:E)</f>
        <v>0</v>
      </c>
      <c r="E19" s="153">
        <f t="shared" si="0"/>
        <v>0</v>
      </c>
    </row>
    <row r="20" spans="1:5" ht="13.8">
      <c r="A20" s="284" t="s">
        <v>253</v>
      </c>
      <c r="B20" s="267">
        <f>+SUMIF('BAL N'!J:J,"=284",'BAL N'!D:D)-SUMIF('BAL N'!K:K,"=2845",'BAL N'!D:D)</f>
        <v>0</v>
      </c>
      <c r="C20" s="267">
        <f>+SUMIF('BAL N'!J:J,"=284",'BAL N'!F:F)-SUMIF('BAL N'!K:K,"=2845",'BAL N'!F:F)</f>
        <v>0</v>
      </c>
      <c r="D20" s="267">
        <f>+SUMIF('BAL N'!J:J,"=284",'BAL N'!E:E)-SUMIF('BAL N'!K:K,"=2845",'BAL N'!E:E)</f>
        <v>0</v>
      </c>
      <c r="E20" s="153">
        <f t="shared" si="0"/>
        <v>0</v>
      </c>
    </row>
    <row r="21" spans="1:5" ht="13.8">
      <c r="A21" s="284" t="s">
        <v>257</v>
      </c>
      <c r="B21" s="267">
        <f>+SUMIF('BAL N'!K:K,"=2845",'BAL N'!D:D)</f>
        <v>0</v>
      </c>
      <c r="C21" s="267">
        <f>+SUMIF('BAL N'!K:K,"=2845",'BAL N'!F:F)</f>
        <v>0</v>
      </c>
      <c r="D21" s="267">
        <f>+SUMIF('BAL N'!K:K,"=2845",'BAL N'!E:E)</f>
        <v>0</v>
      </c>
      <c r="E21" s="153">
        <f t="shared" si="0"/>
        <v>0</v>
      </c>
    </row>
    <row r="22" spans="1:5" ht="13.8">
      <c r="A22" s="287" t="s">
        <v>541</v>
      </c>
      <c r="B22" s="612">
        <f>SUM(B15:B21)</f>
        <v>0</v>
      </c>
      <c r="C22" s="612">
        <f>SUM(C15:C21)</f>
        <v>0</v>
      </c>
      <c r="D22" s="612">
        <f>SUM(D15:D21)</f>
        <v>0</v>
      </c>
      <c r="E22" s="612">
        <f>+B22+C22-D22</f>
        <v>0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0</v>
      </c>
      <c r="C24" s="615">
        <f>SUM(C14,C22)</f>
        <v>0</v>
      </c>
      <c r="D24" s="615">
        <f>SUM(D14,D22)</f>
        <v>0</v>
      </c>
      <c r="E24" s="615">
        <f>SUM(B24:D24)</f>
        <v>0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0</v>
      </c>
      <c r="C11" s="153">
        <f>+SUMIF('BAL N'!I:I,"=272",'BAL N'!C:C)</f>
        <v>0</v>
      </c>
      <c r="D11" s="824">
        <f t="shared" si="0"/>
        <v>0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0</v>
      </c>
      <c r="C14" s="616">
        <f>+SUMIF('BAL N'!J:J,"=275",'BAL N'!C:C)</f>
        <v>0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0</v>
      </c>
      <c r="C16" s="612">
        <f>SUM(C9:C15)</f>
        <v>0</v>
      </c>
      <c r="D16" s="825">
        <f t="shared" si="0"/>
        <v>0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0</v>
      </c>
      <c r="C9" s="619">
        <f>+SUMIF('BAL N'!I:I,"=32",'BAL N'!C:C)</f>
        <v>0</v>
      </c>
      <c r="D9" s="826">
        <f>IFERROR((B9-C9)/B9,0)</f>
        <v>0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0</v>
      </c>
      <c r="C16" s="688">
        <f>SUM(C8:C15)</f>
        <v>0</v>
      </c>
      <c r="D16" s="827">
        <f t="shared" si="0"/>
        <v>0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0</v>
      </c>
      <c r="C9" s="625">
        <f>+SUMIF('BAL N'!J:J,"=411",'BAL N'!C:C)-SUMIF('BAL N'!K:K,"=4116",'BAL N'!C:C)</f>
        <v>0</v>
      </c>
      <c r="D9" s="623">
        <f>IFERROR((B9-C9)/B9,0)</f>
        <v>0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0</v>
      </c>
      <c r="C17" s="613">
        <f>SUM(C9:C16)</f>
        <v>0</v>
      </c>
      <c r="D17" s="692">
        <f t="shared" si="0"/>
        <v>0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0</v>
      </c>
      <c r="C20" s="267">
        <f>+SUMIF('BAL N'!K:K,"=4191",'BAL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0</v>
      </c>
      <c r="C23" s="615">
        <f>SUM(C20:C22)</f>
        <v>0</v>
      </c>
      <c r="D23" s="691">
        <f t="shared" si="0"/>
        <v>0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0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0</v>
      </c>
      <c r="C10" s="267">
        <f>+SUMIF('BAL N'!I:I,"=43",'BAL N'!C:C)</f>
        <v>0</v>
      </c>
      <c r="D10" s="623">
        <f t="shared" si="0" ref="D10:D21">IFERROR((B10-C10)/B10,0)</f>
        <v>0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0</v>
      </c>
      <c r="C11" s="267">
        <f>+SUMIF('BAL N'!I:I,"=44",'BAL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0</v>
      </c>
      <c r="C19" s="612">
        <f>SUM(C9:C18)</f>
        <v>0</v>
      </c>
      <c r="D19" s="692">
        <f t="shared" si="0"/>
        <v>0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0</v>
      </c>
      <c r="C21" s="612">
        <f>+C19-C20</f>
        <v>0</v>
      </c>
      <c r="D21" s="692">
        <f t="shared" si="0"/>
        <v>0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0</v>
      </c>
      <c r="C8" s="618">
        <f>+SUMIF('BAL N'!J:J,"=521",'BAL N'!C:C)</f>
        <v>0</v>
      </c>
      <c r="D8" s="621">
        <f>IFERROR((B8-C8)/B8,0)</f>
        <v>0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0</v>
      </c>
      <c r="C17" s="272">
        <f>+SUMIF('BAL N'!J:J,"=571",'BAL N'!C:C)</f>
        <v>0</v>
      </c>
      <c r="D17" s="621">
        <f t="shared" si="0"/>
        <v>0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0</v>
      </c>
      <c r="C20" s="620">
        <f>SUM(C8:C19)</f>
        <v>0</v>
      </c>
      <c r="D20" s="622">
        <f t="shared" si="0"/>
        <v>0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0</v>
      </c>
      <c r="C16" s="1190"/>
      <c r="D16" s="1191">
        <f>+SUMIF('BAL N'!J:J,"=111",'BAL N'!D:D)</f>
        <v>0</v>
      </c>
      <c r="E16" s="1190"/>
      <c r="F16" s="1194">
        <f t="shared" si="1" ref="F16:F23">+B16-D16</f>
        <v>0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0</v>
      </c>
      <c r="C20" s="1190"/>
      <c r="D20" s="1191">
        <f>+SUMIF('BAL N'!J:J,"=118",'BAL N'!D:D)</f>
        <v>0</v>
      </c>
      <c r="E20" s="1190"/>
      <c r="F20" s="1194">
        <f t="shared" si="1"/>
        <v>0</v>
      </c>
      <c r="G20" s="1195"/>
    </row>
    <row r="21" spans="1:7" ht="13.8">
      <c r="A21" s="287" t="s">
        <v>753</v>
      </c>
      <c r="B21" s="1192">
        <f>SUM(B15:C20)</f>
        <v>0</v>
      </c>
      <c r="C21" s="1193"/>
      <c r="D21" s="1192">
        <f>SUM(D15:E20)</f>
        <v>0</v>
      </c>
      <c r="E21" s="1193"/>
      <c r="F21" s="1192">
        <f t="shared" si="1"/>
        <v>0</v>
      </c>
      <c r="G21" s="1193"/>
    </row>
    <row r="22" spans="1:7" ht="13.8">
      <c r="A22" s="291" t="s">
        <v>242</v>
      </c>
      <c r="B22" s="1191">
        <f>+SUMIF('BAL N'!J:J,"=118",'BAL N'!H:H)</f>
        <v>0</v>
      </c>
      <c r="C22" s="1190"/>
      <c r="D22" s="1191">
        <f>+SUMIF('BAL N'!J:J,"=118",'BAL N'!D:D)</f>
        <v>0</v>
      </c>
      <c r="E22" s="1190"/>
      <c r="F22" s="1189">
        <f t="shared" si="1"/>
        <v>0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0</v>
      </c>
      <c r="C8" s="625">
        <f>+SUMIF('BAL N'!J:J,"=401",'BAL N'!D:D)-SUMIF('BAL N'!K:K,"=4012",'BAL N'!D:D)-SUMIF('BAL N'!J:J,"=401",'BAL N'!C:C)</f>
        <v>0</v>
      </c>
      <c r="D8" s="623">
        <f>IFERROR((B8-C8)/B8,0)</f>
        <v>0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0</v>
      </c>
      <c r="C13" s="612">
        <f>SUM(C8:C12)</f>
        <v>0</v>
      </c>
      <c r="D13" s="692">
        <f t="shared" si="0"/>
        <v>0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0</v>
      </c>
      <c r="C9" s="625">
        <f>+SUMIF('BAL N'!J:J,"=422",'BAL N'!D:D)</f>
        <v>0</v>
      </c>
      <c r="D9" s="300"/>
      <c r="E9" s="708">
        <f t="shared" si="0" ref="E9:E23">IFERROR((B9-C9)/B9,0)</f>
        <v>0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0</v>
      </c>
      <c r="C12" s="625">
        <f>+SUMIF('BAL N'!K:K,"=4313",'BAL N'!D:D)+SUMIF('BAL N'!K:K,"=4314",'BAL N'!D:D)</f>
        <v>0</v>
      </c>
      <c r="D12" s="300"/>
      <c r="E12" s="708">
        <f t="shared" si="0"/>
        <v>0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0</v>
      </c>
      <c r="C14" s="612">
        <f>SUM(C8:C13)</f>
        <v>0</v>
      </c>
      <c r="D14" s="301"/>
      <c r="E14" s="709">
        <f t="shared" si="0"/>
        <v>0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0</v>
      </c>
      <c r="C16" s="625">
        <f>+SUMIF('BAL N'!J:J,"=441",'BAL N'!D:D)</f>
        <v>0</v>
      </c>
      <c r="D16" s="300"/>
      <c r="E16" s="708">
        <f t="shared" si="0"/>
        <v>0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0</v>
      </c>
      <c r="C17" s="625">
        <f>+SUMIF('BAL N'!J:J,"=442",'BAL N'!D:D)</f>
        <v>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0</v>
      </c>
      <c r="C19" s="267">
        <f>+SUMIF('BAL N'!J:J,"=447",'BAL N'!D:D)</f>
        <v>0</v>
      </c>
      <c r="D19" s="267"/>
      <c r="E19" s="708">
        <f t="shared" si="0"/>
        <v>0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0</v>
      </c>
      <c r="C20" s="267">
        <f>+SUMIF('BAL N'!J:J,"=446",'BAL N'!D:D)+SUMIF('BAL N'!J:J,"=448",'BAL N'!D:D)+SUMIF('BAL N'!J:J,"=449",'BAL N'!D:D)</f>
        <v>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0</v>
      </c>
      <c r="C21" s="612">
        <f>SUM(C16:C20)</f>
        <v>0</v>
      </c>
      <c r="D21" s="301"/>
      <c r="E21" s="709">
        <f t="shared" si="0"/>
        <v>0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0</v>
      </c>
      <c r="C23" s="699">
        <f>+C21+C14</f>
        <v>0</v>
      </c>
      <c r="D23" s="710"/>
      <c r="E23" s="711">
        <f t="shared" si="0"/>
        <v>0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0</v>
      </c>
      <c r="C10" s="625">
        <f>+SUMIF('BAL N'!J:J,"=462",'BAL N'!D:D)</f>
        <v>0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0</v>
      </c>
      <c r="C11" s="267">
        <f>+SUMIF('BAL N'!J:J,"=465",'BAL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0</v>
      </c>
      <c r="C14" s="612">
        <f>SUM(C8:C13)</f>
        <v>0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0</v>
      </c>
      <c r="C15" s="617">
        <f>+SUMIF('BAL N-1'!K:K,"=7023",'BAL N-1'!H:H)</f>
        <v>0</v>
      </c>
      <c r="D15" s="621">
        <f t="shared" si="0"/>
        <v>0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0</v>
      </c>
      <c r="C18" s="620">
        <f>SUM(C14:C17)</f>
        <v>0</v>
      </c>
      <c r="D18" s="622">
        <f>IFERROR((B18-C18)/B18,0)</f>
        <v>0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0</v>
      </c>
      <c r="C36" s="620">
        <f>+C34+C29+C24+C18+C12</f>
        <v>0</v>
      </c>
      <c r="D36" s="622">
        <f t="shared" si="0"/>
        <v>0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0</v>
      </c>
      <c r="C13" s="619">
        <f>+SUMIF('BAL N-1'!K:K,"=6021",'BAL N-1'!G:G)</f>
        <v>0</v>
      </c>
      <c r="D13" s="621">
        <f t="shared" si="0"/>
        <v>0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0</v>
      </c>
      <c r="C16" s="620">
        <f>SUM(C13:C15)</f>
        <v>0</v>
      </c>
      <c r="D16" s="622">
        <f t="shared" si="0"/>
        <v>0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0</v>
      </c>
      <c r="C19" s="619">
        <f>SUMIF('BAL N-1'!J:J,"=604",'BAL N-1'!G:G)-SUMIF('BAL N-1'!K:K,"=6041",'BAL N-1'!G:G)-SUMIF('BAL N-1'!K:K,"=6042",'BAL N-1'!G:G)</f>
        <v>0</v>
      </c>
      <c r="D19" s="621">
        <f t="shared" si="0"/>
        <v>0</v>
      </c>
    </row>
    <row r="20" spans="1:4" ht="20.1" customHeight="1">
      <c r="A20" s="283" t="s">
        <v>931</v>
      </c>
      <c r="B20" s="618">
        <f>+SUMIF('BAL N'!K:K,"=6043",'BAL N'!G:G)</f>
        <v>0</v>
      </c>
      <c r="C20" s="619">
        <f>SUMIF('BAL N-1'!K:K,"=6043",'BAL N-1'!G:G)</f>
        <v>0</v>
      </c>
      <c r="D20" s="621">
        <f t="shared" si="0"/>
        <v>0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0</v>
      </c>
      <c r="C22" s="619">
        <f>SUMIF('BAL N-1'!K:K,"=6051",'BAL N-1'!G:G)</f>
        <v>0</v>
      </c>
      <c r="D22" s="621">
        <f t="shared" si="0"/>
        <v>0</v>
      </c>
    </row>
    <row r="23" spans="1:4" ht="20.1" customHeight="1">
      <c r="A23" s="283" t="s">
        <v>934</v>
      </c>
      <c r="B23" s="618">
        <f>+SUMIF('BAL N'!K:K,"=6052",'BAL N'!G:G)</f>
        <v>0</v>
      </c>
      <c r="C23" s="619">
        <f>SUMIF('BAL N-1'!K:K,"=6052",'BAL N-1'!G:G)</f>
        <v>0</v>
      </c>
      <c r="D23" s="621">
        <f t="shared" si="0"/>
        <v>0</v>
      </c>
    </row>
    <row r="24" spans="1:4" ht="20.1" customHeight="1">
      <c r="A24" s="283" t="s">
        <v>935</v>
      </c>
      <c r="B24" s="618">
        <f>+SUMIF('BAL N'!K:K,"=6053",'BAL N'!G:G)</f>
        <v>0</v>
      </c>
      <c r="C24" s="619">
        <f>SUMIF('BAL N-1'!K:K,"=6053",'BAL N-1'!G:G)</f>
        <v>0</v>
      </c>
      <c r="D24" s="621">
        <f t="shared" si="0"/>
        <v>0</v>
      </c>
    </row>
    <row r="25" spans="1:4" ht="20.1" customHeight="1">
      <c r="A25" s="283" t="s">
        <v>936</v>
      </c>
      <c r="B25" s="618">
        <f>+SUMIF('BAL N'!K:K,"=6054",'BAL N'!G:G)</f>
        <v>0</v>
      </c>
      <c r="C25" s="619">
        <f>SUMIF('BAL N-1'!K:K,"=6054",'BAL N-1'!G:G)</f>
        <v>0</v>
      </c>
      <c r="D25" s="621">
        <f t="shared" si="0"/>
        <v>0</v>
      </c>
    </row>
    <row r="26" spans="1:4" ht="20.1" customHeight="1">
      <c r="A26" s="283" t="s">
        <v>937</v>
      </c>
      <c r="B26" s="618">
        <f>+SUMIF('BAL N'!K:K,"=6055",'BAL N'!G:G)</f>
        <v>0</v>
      </c>
      <c r="C26" s="619">
        <f>SUMIF('BAL N-1'!K:K,"=6055",'BAL N-1'!G:G)</f>
        <v>0</v>
      </c>
      <c r="D26" s="621">
        <f t="shared" si="0"/>
        <v>0</v>
      </c>
    </row>
    <row r="27" spans="1:4" ht="20.1" customHeight="1">
      <c r="A27" s="283" t="s">
        <v>938</v>
      </c>
      <c r="B27" s="618">
        <f>+SUMIF('BAL N'!K:K,"=6056",'BAL N'!G:G)+SUMIF('BAL N'!K:K,"=6058",'BAL N'!G:G)</f>
        <v>0</v>
      </c>
      <c r="C27" s="619">
        <f>SUMIF('BAL N-1'!K:K,"=6056",'BAL N-1'!G:G)+SUMIF('BAL N-1'!K:K,"=6058",'BAL N-1'!G:G)</f>
        <v>0</v>
      </c>
      <c r="D27" s="621">
        <f t="shared" si="0"/>
        <v>0</v>
      </c>
    </row>
    <row r="28" spans="1:4" ht="27.6">
      <c r="A28" s="283" t="s">
        <v>1504</v>
      </c>
      <c r="B28" s="618">
        <f>+SUMIF('BAL N'!K:K,"=6057",'BAL N'!G:G)</f>
        <v>0</v>
      </c>
      <c r="C28" s="619">
        <f>SUMIF('BAL N-1'!K:K,"=6057",'BAL N-1'!G:G)</f>
        <v>0</v>
      </c>
      <c r="D28" s="621">
        <f t="shared" si="0"/>
        <v>0</v>
      </c>
    </row>
    <row r="29" spans="1:4" ht="20.1" customHeight="1">
      <c r="A29" s="283" t="s">
        <v>939</v>
      </c>
      <c r="B29" s="618">
        <f>+SUMIF('BAL N'!J:J,"=608",'BAL N'!G:G)</f>
        <v>0</v>
      </c>
      <c r="C29" s="619">
        <f>SUMIF('BAL N-1'!J:J,"=608",'BAL N-1'!G:G)</f>
        <v>0</v>
      </c>
      <c r="D29" s="621">
        <f t="shared" si="0"/>
        <v>0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0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0</v>
      </c>
      <c r="C32" s="695">
        <f>SUM(C18:C31)</f>
        <v>0</v>
      </c>
      <c r="D32" s="690">
        <f t="shared" si="0"/>
        <v>0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0</v>
      </c>
      <c r="C8" s="617">
        <f>+SUMIF('BAL N-1'!J:J,"=612",'BAL N-1'!C:C)</f>
        <v>0</v>
      </c>
      <c r="D8" s="621">
        <f t="shared" si="0" ref="D8:D13">IFERROR((B8-C8)/B8,0)</f>
        <v>0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0</v>
      </c>
      <c r="C11" s="617">
        <f>+SUMIF('BAL N-1'!J:J,"=616",'BAL N-1'!C:C)</f>
        <v>0</v>
      </c>
      <c r="D11" s="621">
        <f t="shared" si="0"/>
        <v>0</v>
      </c>
    </row>
    <row r="12" spans="1:4" ht="20.1" customHeight="1">
      <c r="A12" s="283" t="s">
        <v>1431</v>
      </c>
      <c r="B12" s="618">
        <f>+SUMIF('BAL N'!J:J,"=618",'BAL N'!G:G)</f>
        <v>0</v>
      </c>
      <c r="C12" s="619">
        <f>+SUMIF('BAL N-1'!J:J,"=618",'BAL N-1'!C:C)</f>
        <v>0</v>
      </c>
      <c r="D12" s="621">
        <f t="shared" si="0"/>
        <v>0</v>
      </c>
    </row>
    <row r="13" spans="1:4" s="719" customFormat="1" ht="25.2" customHeight="1">
      <c r="A13" s="694" t="s">
        <v>106</v>
      </c>
      <c r="B13" s="695">
        <f>SUM(B8:B12)</f>
        <v>0</v>
      </c>
      <c r="C13" s="695">
        <f>SUM(C8:C12)</f>
        <v>0</v>
      </c>
      <c r="D13" s="690">
        <f t="shared" si="0"/>
        <v>0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0</v>
      </c>
      <c r="C9" s="619">
        <f>+SUMIF('BAL N-1'!J:J,"=622",'BAL N-1'!G:G)</f>
        <v>0</v>
      </c>
      <c r="D9" s="621">
        <f t="shared" si="0" ref="D9:D23">IFERROR((B9-C9)/B9,0)</f>
        <v>0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0</v>
      </c>
      <c r="C11" s="619">
        <f>+SUMIF('BAL N-1'!J:J,"=624",'BAL N-1'!G:G)</f>
        <v>0</v>
      </c>
      <c r="D11" s="621">
        <f t="shared" si="0"/>
        <v>0</v>
      </c>
    </row>
    <row r="12" spans="1:4" ht="20.1" customHeight="1">
      <c r="A12" s="283" t="s">
        <v>949</v>
      </c>
      <c r="B12" s="618">
        <f>+SUMIF('BAL N'!J:J,"=625",'BAL N'!G:G)</f>
        <v>0</v>
      </c>
      <c r="C12" s="619">
        <f>+SUMIF('BAL N-1'!J:J,"=625",'BAL N-1'!G:G)</f>
        <v>0</v>
      </c>
      <c r="D12" s="621">
        <f t="shared" si="0"/>
        <v>0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0</v>
      </c>
      <c r="C15" s="619">
        <f>+SUMIF('BAL N-1'!J:J,"=628",'BAL N-1'!G:G)</f>
        <v>0</v>
      </c>
      <c r="D15" s="621">
        <f t="shared" si="0"/>
        <v>0</v>
      </c>
    </row>
    <row r="16" spans="1:4" ht="20.1" customHeight="1">
      <c r="A16" s="283" t="s">
        <v>953</v>
      </c>
      <c r="B16" s="618">
        <f>+SUMIF('BAL N'!J:J,"=631",'BAL N'!G:G)</f>
        <v>0</v>
      </c>
      <c r="C16" s="619">
        <f>+SUMIF('BAL N-1'!J:J,"=631",'BAL N-1'!G:G)</f>
        <v>0</v>
      </c>
      <c r="D16" s="621">
        <f t="shared" si="0"/>
        <v>0</v>
      </c>
    </row>
    <row r="17" spans="1:4" ht="13.8">
      <c r="A17" s="283" t="s">
        <v>954</v>
      </c>
      <c r="B17" s="618">
        <f>+SUMIF('BAL N'!J:J,"=632",'BAL N'!G:G)</f>
        <v>0</v>
      </c>
      <c r="C17" s="619">
        <f>+SUMIF('BAL N-1'!J:J,"=632",'BAL N-1'!G:G)</f>
        <v>0</v>
      </c>
      <c r="D17" s="621">
        <f t="shared" si="0"/>
        <v>0</v>
      </c>
    </row>
    <row r="18" spans="1:4" ht="20.1" customHeight="1">
      <c r="A18" s="283" t="s">
        <v>955</v>
      </c>
      <c r="B18" s="618">
        <f>+SUMIF('BAL N'!J:J,"=633",'BAL N'!G:G)</f>
        <v>0</v>
      </c>
      <c r="C18" s="619">
        <f>+SUMIF('BAL N-1'!J:J,"=633",'BAL N-1'!G:G)</f>
        <v>0</v>
      </c>
      <c r="D18" s="621">
        <f t="shared" si="0"/>
        <v>0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0</v>
      </c>
      <c r="C21" s="619">
        <f>+SUMIF('BAL N-1'!J:J,"=637",'BAL N-1'!G:G)++SUMIF('BAL N-1'!J:J,"=638",'BAL N-1'!G:G)</f>
        <v>0</v>
      </c>
      <c r="D21" s="621">
        <f t="shared" si="0"/>
        <v>0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0</v>
      </c>
      <c r="C23" s="695">
        <f>SUM(C8:C21)</f>
        <v>0</v>
      </c>
      <c r="D23" s="690">
        <f t="shared" si="0"/>
        <v>0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0</v>
      </c>
      <c r="C8" s="617">
        <f>+SUMIF('BAL N-1'!J:J,"=641",'BAL N-1'!G:G)</f>
        <v>0</v>
      </c>
      <c r="D8" s="621">
        <f>IFERROR((B8-C8)/B8,0)</f>
        <v>0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0</v>
      </c>
      <c r="C10" s="617">
        <f>+SUMIF('BAL N-1'!J:J,"=646",'BAL N-1'!G:G)</f>
        <v>0</v>
      </c>
      <c r="D10" s="621">
        <f t="shared" si="0"/>
        <v>0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0</v>
      </c>
      <c r="C14" s="695">
        <f>SUM(C8:C12)</f>
        <v>0</v>
      </c>
      <c r="D14" s="690">
        <f t="shared" si="0"/>
        <v>0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0</v>
      </c>
      <c r="C13" s="617">
        <f>+SUMIF('BAL N-1'!K:K,"=6582",'BAL N-1'!G:G)+SUMIF('BAL N-1'!K:K,"=6583",'BAL N-1'!G:G)</f>
        <v>0</v>
      </c>
      <c r="D13" s="621">
        <f t="shared" si="0"/>
        <v>0</v>
      </c>
    </row>
    <row r="14" spans="1:4" ht="20.1" customHeight="1">
      <c r="A14" s="283" t="s">
        <v>973</v>
      </c>
      <c r="B14" s="744">
        <f>+SUMIF('BAL N'!K:K,"=6588",'BAL N'!G:G)</f>
        <v>0</v>
      </c>
      <c r="C14" s="617">
        <f>+SUMIF('BAL N-1'!K:K,"=6588",'BAL N-1'!G:G)</f>
        <v>0</v>
      </c>
      <c r="D14" s="621">
        <f t="shared" si="0"/>
        <v>0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0</v>
      </c>
      <c r="C17" s="689">
        <f>SUM(C8:C15)</f>
        <v>0</v>
      </c>
      <c r="D17" s="690">
        <f t="shared" si="0"/>
        <v>0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0</v>
      </c>
      <c r="C8" s="619">
        <f>+SUMIF('BAL N-1'!J:J,"=661",'BAL N-1'!G:G)</f>
        <v>0</v>
      </c>
      <c r="D8" s="621">
        <f>IFERROR((B8-C8)/B8,0)</f>
        <v>0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0</v>
      </c>
      <c r="C10" s="619">
        <f>+SUMIF('BAL N-1'!J:J,"=664",'BAL N-1'!G:G)</f>
        <v>0</v>
      </c>
      <c r="D10" s="621">
        <f t="shared" si="0"/>
        <v>0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0</v>
      </c>
      <c r="C13" s="617">
        <f>+SUMIF('BAL N-1'!J:J,"=668",'BAL N-1'!G:G)</f>
        <v>0</v>
      </c>
      <c r="D13" s="621">
        <f t="shared" si="0"/>
        <v>0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0</v>
      </c>
      <c r="C15" s="689">
        <f>SUM(C8:C13)</f>
        <v>0</v>
      </c>
      <c r="D15" s="690">
        <f t="shared" si="0"/>
        <v>0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0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0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0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0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0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0</v>
      </c>
      <c r="C9" s="770">
        <f>'COMPTE DE RESULTAT'!F14</f>
        <v>0</v>
      </c>
      <c r="D9" s="753">
        <f>IFERROR((B9-C9)/B9,0)</f>
        <v>0</v>
      </c>
    </row>
    <row r="10" spans="1:4" ht="13.8">
      <c r="A10" s="439" t="s">
        <v>1127</v>
      </c>
      <c r="B10" s="769">
        <f>'COMPTE DE RESULTAT'!E10</f>
        <v>0</v>
      </c>
      <c r="C10" s="769">
        <f>'COMPTE DE RESULTAT'!F10</f>
        <v>0</v>
      </c>
      <c r="D10" s="753">
        <f t="shared" si="0" ref="D10:D17">IFERROR((B10-C10)/B10,0)</f>
        <v>0</v>
      </c>
    </row>
    <row r="11" spans="1:4" ht="13.8">
      <c r="A11" s="439" t="s">
        <v>1128</v>
      </c>
      <c r="B11" s="769">
        <f>'COMPTE DE RESULTAT'!E28</f>
        <v>0</v>
      </c>
      <c r="C11" s="769">
        <f>'COMPTE DE RESULTAT'!F28</f>
        <v>0</v>
      </c>
      <c r="D11" s="753">
        <f t="shared" si="0"/>
        <v>0</v>
      </c>
    </row>
    <row r="12" spans="1:4" ht="13.8">
      <c r="A12" s="439" t="s">
        <v>1129</v>
      </c>
      <c r="B12" s="769">
        <f>'COMPTE DE RESULTAT'!E30</f>
        <v>0</v>
      </c>
      <c r="C12" s="769">
        <f>'COMPTE DE RESULTAT'!F30</f>
        <v>0</v>
      </c>
      <c r="D12" s="753">
        <f t="shared" si="0"/>
        <v>0</v>
      </c>
    </row>
    <row r="13" spans="1:4" ht="13.8">
      <c r="A13" s="439" t="s">
        <v>1130</v>
      </c>
      <c r="B13" s="769">
        <f>'COMPTE DE RESULTAT'!E33</f>
        <v>0</v>
      </c>
      <c r="C13" s="769">
        <f>'COMPTE DE RESULTAT'!F33</f>
        <v>0</v>
      </c>
      <c r="D13" s="753">
        <f t="shared" si="0"/>
        <v>0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0</v>
      </c>
      <c r="C15" s="769">
        <f>'COMPTE DE RESULTAT'!F40</f>
        <v>0</v>
      </c>
      <c r="D15" s="753">
        <f t="shared" si="0"/>
        <v>0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0</v>
      </c>
      <c r="C17" s="769">
        <f>'COMPTE DE RESULTAT'!F48</f>
        <v>0</v>
      </c>
      <c r="D17" s="753">
        <f t="shared" si="0"/>
        <v>0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0</v>
      </c>
      <c r="C19" s="769">
        <f>C12</f>
        <v>0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0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0</v>
      </c>
      <c r="C22" s="771">
        <f>C19+C20+C21</f>
        <v>0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0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0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0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0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0</v>
      </c>
      <c r="C31" s="769">
        <f t="shared" si="1"/>
        <v>0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0</v>
      </c>
      <c r="C33" s="771">
        <f>+C22+C23+C24+C25+C26+C27-C28-C29-C30-C31</f>
        <v>0</v>
      </c>
      <c r="D33" s="467"/>
    </row>
    <row r="34" spans="1:4" ht="13.8">
      <c r="A34" s="468" t="s">
        <v>1150</v>
      </c>
      <c r="B34" s="769">
        <f>+SUMIF('BAL N'!J:J,"=465",'BAL N'!H:H)</f>
        <v>0</v>
      </c>
      <c r="C34" s="770">
        <f>+SUMIF('BAL N'!J:J,"=465",'BAL N'!H:H)</f>
        <v>0</v>
      </c>
      <c r="D34" s="469"/>
    </row>
    <row r="35" spans="1:4" ht="20.1" customHeight="1">
      <c r="A35" s="466" t="s">
        <v>1151</v>
      </c>
      <c r="B35" s="771">
        <f>+B33-B34</f>
        <v>0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</v>
      </c>
      <c r="C37" s="469"/>
      <c r="D37" s="469"/>
    </row>
    <row r="38" spans="1:4" ht="32.1" customHeight="1">
      <c r="A38" s="439"/>
      <c r="B38" s="772">
        <f>IFERROR(B17/'BILAN PAYSAGE'!K18,0)</f>
        <v>0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0</v>
      </c>
      <c r="C40" s="769">
        <f>'BILAN PAYSAGE'!L18</f>
        <v>0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0</v>
      </c>
      <c r="C42" s="769">
        <f>C40+C41</f>
        <v>0</v>
      </c>
      <c r="D42" s="773"/>
    </row>
    <row r="43" spans="1:4" ht="13.8">
      <c r="A43" s="468" t="s">
        <v>1157</v>
      </c>
      <c r="B43" s="769">
        <f>'BILAN PAYSAGE'!F23</f>
        <v>0</v>
      </c>
      <c r="C43" s="769">
        <f>'BILAN PAYSAGE'!G23</f>
        <v>0</v>
      </c>
      <c r="D43" s="773"/>
    </row>
    <row r="44" spans="1:4" ht="20.1" customHeight="1">
      <c r="A44" s="466" t="s">
        <v>1158</v>
      </c>
      <c r="B44" s="771">
        <f>+B42-B43</f>
        <v>0</v>
      </c>
      <c r="C44" s="771">
        <f>+C42-C43</f>
        <v>0</v>
      </c>
      <c r="D44" s="471"/>
    </row>
    <row r="45" spans="1:4" ht="13.8">
      <c r="A45" s="470" t="s">
        <v>1159</v>
      </c>
      <c r="B45" s="769">
        <f>+'BILAN PAYSAGE'!F30-'BILAN PAYSAGE'!F24</f>
        <v>0</v>
      </c>
      <c r="C45" s="769">
        <f>+'BILAN PAYSAGE'!G30-'BILAN PAYSAGE'!G24</f>
        <v>0</v>
      </c>
      <c r="D45" s="469"/>
    </row>
    <row r="46" spans="1:4" ht="13.8">
      <c r="A46" s="465" t="s">
        <v>1160</v>
      </c>
      <c r="B46" s="769">
        <f>+'BILAN PAYSAGE'!K30-'BILAN PAYSAGE'!K24</f>
        <v>0</v>
      </c>
      <c r="C46" s="769">
        <f>+'BILAN PAYSAGE'!L30-'BILAN PAYSAGE'!L24</f>
        <v>0</v>
      </c>
      <c r="D46" s="469"/>
    </row>
    <row r="47" spans="1:4" ht="13.8">
      <c r="A47" s="468" t="s">
        <v>1161</v>
      </c>
      <c r="B47" s="769">
        <f>+B45-B46</f>
        <v>0</v>
      </c>
      <c r="C47" s="769">
        <f>+C45-C46</f>
        <v>0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0</v>
      </c>
      <c r="C51" s="771">
        <f>+C47+C50</f>
        <v>0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0</v>
      </c>
      <c r="C53" s="830">
        <f>+C44-C51</f>
        <v>0</v>
      </c>
      <c r="D53" s="831"/>
    </row>
    <row r="54" spans="1:4" ht="13.8">
      <c r="A54" s="832" t="s">
        <v>1167</v>
      </c>
      <c r="B54" s="833">
        <f>+'BILAN PAYSAGE'!F34-'BILAN PAYSAGE'!K34</f>
        <v>0</v>
      </c>
      <c r="C54" s="833">
        <f>+'BILAN PAYSAGE'!G34-'BILAN PAYSAGE'!L34</f>
        <v>0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0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0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0</v>
      </c>
      <c r="C61" s="833"/>
      <c r="D61" s="836"/>
    </row>
    <row r="62" spans="1:4" ht="13.8">
      <c r="A62" s="839" t="s">
        <v>1521</v>
      </c>
      <c r="B62" s="840">
        <f>'BILAN PAYSAGE'!F30</f>
        <v>0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0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tabSelected="1"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