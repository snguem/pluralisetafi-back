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<sst xmlns="http://schemas.openxmlformats.org/spreadsheetml/2006/main" count="4743" uniqueCount="1895">
  <si>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</si>
  <si>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</si>
  <si>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</si>
  <si>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</si>
  <si>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</si>
  <si>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</si>
  <si>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</si>
  <si>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</si>
  <si>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</si>
  <si>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</si>
  <si>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</si>
  <si>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</si>
  <si>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</si>
  <si>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</si>
  <si>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</si>
  <si>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</si>
  <si>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</si>
  <si>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</si>
  <si>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</si>
  <si>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</si>
  <si>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</si>
  <si>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</si>
  <si>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</si>
  <si>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</si>
  <si>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</si>
  <si>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</si>
  <si>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</si>
  <si>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</si>
  <si>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</si>
  <si>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</si>
  <si>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</si>
  <si>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</si>
  <si>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</si>
  <si>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</si>
  <si>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</si>
  <si>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</si>
  <si>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</si>
  <si>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</si>
  <si>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</si>
  <si>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</si>
  <si>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</si>
  <si>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</si>
  <si>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</si>
  <si>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</si>
  <si>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</si>
  <si>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</si>
  <si>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</si>
  <si>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</si>
  <si>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</si>
  <si>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</si>
  <si>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</si>
  <si>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</si>
  <si>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</si>
  <si>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</si>
  <si>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</si>
  <si>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</si>
  <si>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</si>
  <si>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</si>
  <si>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</si>
  <si>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</si>
  <si>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</si>
  <si>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</si>
  <si>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</si>
  <si>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</si>
  <si>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</si>
  <si>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</si>
  <si>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</si>
  <si>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</si>
  <si>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</si>
  <si>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</si>
  <si>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</si>
  <si>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</si>
  <si>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</si>
  <si>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</si>
  <si>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</si>
  <si>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</si>
  <si>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</si>
  <si>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</si>
  <si>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</si>
  <si>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</si>
  <si>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</si>
  <si>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</si>
  <si>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</si>
  <si>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</si>
  <si>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</si>
  <si>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</si>
  <si>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</si>
  <si>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</si>
  <si>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</si>
  <si>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</si>
  <si>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</si>
  <si>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</si>
  <si>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</si>
  <si>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</si>
  <si>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</si>
  <si>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</si>
  <si>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</si>
  <si>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</si>
  <si>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</si>
  <si>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</si>
  <si>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</si>
  <si>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</si>
  <si>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</si>
  <si>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</si>
  <si>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</si>
  <si>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</si>
  <si>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</si>
  <si>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</si>
  <si>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</si>
  <si>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</si>
  <si>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</si>
  <si>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</si>
  <si>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</si>
  <si>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</si>
  <si>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</si>
  <si>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</si>
  <si>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</si>
  <si>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</si>
  <si>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</si>
  <si>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</si>
  <si>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</si>
  <si>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</si>
  <si>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</si>
  <si>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</si>
  <si>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</si>
  <si>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</si>
  <si>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</si>
  <si>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</si>
  <si>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</si>
  <si>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</si>
  <si>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</si>
  <si>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</si>
  <si>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</si>
  <si>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</si>
  <si>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</si>
  <si>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</si>
  <si>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</si>
  <si>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</si>
  <si>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</si>
  <si>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</si>
  <si>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</si>
  <si>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</si>
  <si>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</si>
  <si>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</si>
  <si>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</si>
  <si>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</si>
  <si>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</si>
  <si>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</si>
  <si>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</si>
  <si>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</si>
  <si>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</si>
  <si>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</si>
  <si>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</si>
  <si>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</si>
  <si>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</si>
  <si>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</si>
  <si>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</si>
  <si>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</si>
  <si>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</si>
  <si>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</si>
  <si>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</si>
  <si>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</si>
  <si>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</si>
  <si>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</si>
  <si>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</si>
  <si>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</si>
  <si>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</si>
  <si>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</si>
  <si>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</si>
  <si>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</si>
  <si>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</si>
  <si>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</si>
  <si>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</si>
  <si>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</si>
  <si>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</si>
  <si>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</si>
  <si>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</si>
  <si>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</si>
  <si>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</si>
  <si>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</si>
  <si>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</si>
  <si>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</si>
  <si>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</si>
  <si>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</si>
  <si>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</si>
  <si>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</si>
  <si>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</si>
  <si>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</si>
  <si>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</si>
  <si>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</si>
  <si>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</si>
  <si>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</si>
  <si>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</si>
  <si>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</si>
  <si>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</si>
  <si>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</si>
  <si>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</si>
  <si>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</si>
  <si>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</si>
  <si>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</si>
  <si>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</si>
  <si>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</si>
  <si>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</si>
  <si>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</si>
  <si>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</si>
  <si>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</si>
  <si>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</si>
  <si>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</si>
  <si>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</si>
  <si>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</si>
  <si>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</si>
  <si>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</si>
  <si>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</si>
  <si>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</si>
  <si>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</si>
  <si>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</si>
  <si>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</si>
  <si>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</si>
  <si>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</si>
  <si>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</si>
  <si>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</si>
  <si>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</si>
  <si>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</si>
  <si>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</si>
  <si>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</si>
  <si>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</si>
  <si>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</si>
  <si>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</si>
  <si>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</si>
  <si>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</si>
  <si>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</si>
  <si>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</si>
  <si>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</si>
  <si>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</si>
  <si>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</si>
  <si>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</si>
  <si>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</si>
  <si>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</si>
  <si>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</si>
  <si>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</si>
  <si>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</si>
  <si>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</si>
  <si>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</si>
  <si>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</si>
  <si>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</si>
  <si>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</si>
  <si>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</si>
  <si>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</si>
  <si>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</si>
  <si>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</si>
  <si>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</si>
  <si>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</si>
  <si>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</si>
  <si>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</si>
  <si>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</si>
  <si>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</si>
  <si>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</si>
  <si>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</si>
  <si>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</si>
  <si>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</si>
  <si>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</si>
  <si>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</si>
  <si>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</si>
  <si>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</si>
  <si>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</si>
  <si>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</si>
  <si>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</si>
  <si>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</si>
  <si>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</si>
  <si>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</si>
  <si>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</si>
  <si>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</si>
  <si>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</si>
  <si>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</si>
  <si>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</si>
  <si>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</si>
  <si>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</si>
  <si>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</si>
  <si>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</si>
  <si>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</si>
  <si>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</si>
  <si>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</si>
  <si>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</si>
  <si>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</si>
  <si>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</si>
  <si>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</si>
  <si>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</si>
  <si>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</si>
  <si>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</si>
  <si>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</si>
  <si>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</si>
  <si>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</si>
  <si>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</si>
  <si>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</si>
  <si>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</si>
  <si>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</si>
  <si>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</si>
  <si>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</si>
  <si>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</si>
  <si>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</si>
  <si>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</si>
  <si>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</si>
  <si>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</si>
  <si>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</si>
  <si>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</si>
  <si>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</si>
  <si>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</si>
  <si>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</si>
  <si>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</si>
  <si>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</si>
  <si>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</si>
  <si>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</si>
  <si>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</si>
  <si>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</si>
  <si>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</si>
  <si>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</si>
  <si>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</si>
  <si>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</si>
  <si>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</si>
  <si>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</si>
  <si>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</si>
  <si>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</si>
  <si>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</si>
  <si>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</si>
  <si>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</si>
  <si>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</si>
  <si>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</si>
  <si>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</si>
  <si>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</si>
  <si>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</si>
  <si>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</si>
  <si>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</si>
  <si>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</si>
  <si>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</si>
  <si>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</si>
  <si>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</si>
  <si>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</si>
  <si>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</si>
  <si>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</si>
  <si>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</si>
  <si>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</si>
  <si>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</si>
  <si>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</si>
  <si>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</si>
  <si>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</si>
  <si>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</si>
  <si>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</si>
  <si>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</si>
  <si>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</si>
  <si>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</si>
  <si>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</si>
  <si>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</si>
  <si>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</si>
  <si>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</si>
  <si>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</si>
  <si>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</si>
  <si>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</si>
  <si>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</si>
  <si>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</si>
  <si>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</si>
  <si>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</si>
  <si>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</si>
  <si>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</si>
  <si>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</si>
  <si>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</si>
  <si>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</si>
  <si>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</si>
  <si>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</si>
  <si>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</si>
  <si>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</si>
  <si>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</si>
  <si>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</si>
  <si>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</si>
  <si>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</si>
  <si>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</si>
  <si>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</si>
  <si>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</si>
  <si>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</si>
  <si>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</si>
  <si>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</si>
  <si>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</si>
  <si>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</si>
  <si>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</si>
  <si>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</si>
  <si>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</si>
  <si>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</si>
  <si>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</si>
  <si>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</si>
  <si>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</si>
  <si>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</si>
  <si>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</si>
  <si>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</si>
  <si>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</si>
  <si>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</si>
  <si>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</si>
  <si>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</si>
  <si>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</si>
  <si>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</si>
  <si>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</si>
  <si>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</si>
  <si>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</si>
  <si>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</si>
  <si>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</si>
  <si>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</si>
  <si>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</si>
  <si>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</si>
  <si>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</si>
  <si>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</si>
  <si>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</si>
  <si>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</si>
  <si>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</si>
  <si>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</si>
  <si>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</si>
  <si>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</si>
  <si>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</si>
  <si>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</si>
  <si>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</si>
  <si>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</si>
  <si>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</si>
  <si>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</si>
  <si>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</si>
  <si>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</si>
  <si>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</si>
  <si>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</si>
  <si>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</si>
  <si>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</si>
  <si>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</si>
  <si>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</si>
  <si>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</si>
  <si>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</si>
  <si>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</si>
  <si>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</si>
  <si>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</si>
  <si>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</si>
  <si>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</si>
  <si>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</si>
  <si>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</si>
  <si>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</si>
  <si>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</si>
  <si>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</si>
  <si>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</si>
  <si>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</si>
  <si>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</si>
  <si>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</si>
  <si>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</si>
  <si>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</si>
  <si>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</si>
  <si>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</si>
  <si>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</si>
  <si>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</si>
  <si>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</si>
  <si>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</si>
  <si>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</si>
  <si>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</si>
  <si>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</si>
  <si>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</si>
  <si>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</si>
  <si>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</si>
  <si>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</si>
  <si>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</si>
  <si>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</si>
  <si>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</si>
  <si>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</si>
  <si>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</si>
  <si>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</si>
  <si>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</si>
  <si>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</si>
  <si>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</si>
  <si>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</si>
  <si>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</si>
  <si>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</si>
  <si>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</si>
  <si>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</si>
  <si>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</si>
  <si>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</si>
  <si>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</si>
  <si>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</si>
  <si>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</si>
  <si>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</si>
  <si>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</si>
  <si>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</si>
  <si>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</si>
  <si>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</si>
  <si>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</si>
  <si>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</si>
  <si>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</si>
  <si>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</si>
  <si>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</si>
  <si>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</si>
  <si>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</si>
  <si>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</si>
  <si>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</si>
  <si>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</si>
  <si>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</si>
  <si>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</si>
  <si>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</si>
  <si>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</si>
  <si>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</si>
  <si>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</si>
  <si>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</si>
  <si>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</si>
  <si>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</si>
  <si>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</si>
  <si>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</si>
  <si>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</si>
  <si>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</si>
  <si>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</si>
  <si>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</si>
  <si>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</si>
  <si>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</si>
  <si>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</si>
  <si>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</si>
  <si>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</si>
  <si>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</si>
  <si>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</si>
  <si>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</si>
  <si>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</si>
  <si>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</si>
  <si>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</si>
  <si>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</si>
  <si>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</si>
  <si>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</si>
  <si>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</si>
  <si>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</si>
  <si>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</si>
  <si>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</si>
  <si>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</si>
  <si>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</si>
  <si>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</si>
  <si>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</si>
  <si>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</si>
  <si>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</si>
  <si>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</si>
  <si>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</si>
  <si>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</si>
  <si>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</si>
  <si>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</si>
  <si>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</si>
  <si>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</si>
  <si>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</si>
  <si>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</si>
  <si>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</si>
  <si>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</si>
  <si>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</si>
  <si>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</si>
  <si>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</si>
  <si>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</si>
  <si>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</si>
  <si>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</si>
  <si>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</si>
  <si>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</si>
  <si>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</si>
  <si>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</si>
  <si>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</si>
  <si>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</si>
  <si>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</si>
  <si>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</si>
  <si>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</si>
  <si>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</si>
  <si>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</si>
  <si>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</si>
  <si>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</si>
  <si>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</si>
  <si>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</si>
  <si>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</si>
  <si>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</si>
  <si>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</si>
  <si>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</si>
  <si>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</si>
  <si>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</si>
  <si>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</si>
  <si>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</si>
  <si>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</si>
  <si>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</si>
  <si>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</si>
  <si>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</si>
  <si>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</si>
  <si>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</si>
  <si>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</si>
  <si>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</si>
  <si>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</si>
  <si>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</si>
  <si>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</si>
  <si>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</si>
  <si>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</si>
  <si>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</si>
  <si>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</si>
  <si>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</si>
  <si>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</si>
  <si>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</si>
  <si>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</si>
  <si>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</si>
  <si>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</si>
  <si>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</si>
  <si>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</si>
  <si>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</si>
  <si>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</si>
  <si>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</si>
  <si>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</si>
  <si>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</si>
  <si>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</si>
  <si>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</si>
  <si>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</si>
  <si>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</si>
  <si>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</si>
  <si>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</si>
  <si>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</si>
  <si>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</si>
  <si>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</si>
  <si>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</si>
  <si>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</si>
  <si>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</si>
  <si>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</si>
  <si>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</si>
  <si>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</si>
  <si>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</si>
  <si>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</si>
  <si>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</si>
  <si>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</si>
  <si>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</si>
  <si>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</si>
  <si>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</si>
  <si>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</si>
  <si>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</si>
  <si>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</si>
  <si>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</si>
  <si>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</si>
  <si>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</si>
  <si>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</si>
  <si>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</si>
  <si>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</si>
  <si>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</si>
  <si>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</si>
  <si>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</si>
  <si>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</si>
  <si>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</si>
  <si>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</si>
  <si>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</si>
  <si>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</si>
  <si>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</si>
  <si>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</si>
  <si>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</si>
  <si>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</si>
  <si>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</si>
  <si>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</si>
  <si>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</si>
  <si>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</si>
  <si>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</si>
  <si>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</si>
  <si>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</si>
  <si>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</si>
  <si>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</si>
  <si>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</si>
  <si>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</si>
  <si>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</si>
  <si>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</si>
  <si>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</si>
  <si>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</si>
  <si>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</si>
  <si>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</si>
  <si>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</si>
  <si>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</si>
  <si>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</si>
  <si>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</si>
  <si>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</si>
  <si>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</si>
  <si>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</si>
  <si>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</si>
  <si>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</si>
  <si>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</si>
  <si>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</si>
  <si>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</si>
  <si>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</si>
  <si>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</si>
  <si>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</si>
  <si>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</si>
  <si>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</si>
  <si>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</si>
  <si>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</si>
  <si>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</si>
  <si>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</si>
  <si>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</si>
  <si>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</si>
  <si>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</si>
  <si>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</si>
  <si>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</si>
  <si>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</si>
  <si>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</si>
  <si>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</si>
  <si>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</si>
  <si>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</si>
  <si>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</si>
  <si>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</si>
  <si>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</si>
  <si>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</si>
  <si>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</si>
  <si>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</si>
  <si>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</si>
  <si>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</si>
  <si>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</si>
  <si>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</si>
  <si>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</si>
  <si>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</si>
  <si>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</si>
  <si>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</si>
  <si>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</si>
  <si>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</si>
  <si>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</si>
  <si>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</si>
  <si>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</si>
  <si>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</si>
  <si>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</si>
  <si>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</si>
  <si>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</si>
  <si>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</si>
  <si>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</si>
  <si>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</si>
  <si>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</si>
  <si>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</si>
  <si>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</si>
  <si>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</si>
  <si>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</si>
  <si>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</si>
  <si>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</si>
  <si>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</si>
  <si>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</si>
  <si>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</si>
  <si>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</si>
  <si>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</si>
  <si>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</si>
  <si>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</si>
  <si>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</si>
  <si>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</si>
  <si>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</si>
  <si>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</si>
  <si>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</si>
  <si>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</si>
  <si>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</si>
  <si>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</si>
  <si>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</si>
  <si>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</si>
  <si>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</si>
  <si>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</si>
  <si>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</si>
  <si>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</si>
  <si>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</si>
  <si>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</si>
  <si>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</si>
  <si>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</si>
  <si>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</si>
  <si>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</si>
  <si>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</si>
  <si>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</si>
  <si>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</si>
  <si>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</si>
  <si>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</si>
  <si>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</si>
  <si>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</si>
  <si>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</si>
  <si>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</si>
  <si>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</si>
  <si>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</si>
  <si>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</si>
  <si>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</si>
  <si>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</si>
  <si>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</si>
  <si>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</si>
  <si>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</si>
  <si>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</si>
  <si>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</si>
  <si>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</si>
  <si>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</si>
  <si>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</si>
  <si>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</si>
  <si>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</si>
  <si>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</si>
  <si>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</si>
  <si>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</si>
  <si>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</si>
  <si>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</si>
  <si>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</si>
  <si>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</si>
  <si>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</si>
  <si>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</si>
  <si>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</si>
  <si>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</si>
  <si>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</si>
  <si>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</si>
  <si>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</si>
  <si>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</si>
  <si>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</si>
  <si>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</si>
  <si>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</si>
  <si>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</si>
  <si>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</si>
  <si>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</si>
  <si>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</si>
  <si>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</si>
  <si>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</si>
  <si>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</si>
  <si>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</si>
  <si>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</si>
  <si>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</si>
  <si>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</si>
  <si>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</si>
  <si>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</si>
  <si>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</si>
  <si>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</si>
  <si>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</si>
  <si>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</si>
  <si>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</si>
  <si>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</si>
  <si>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</si>
  <si>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</si>
  <si>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</si>
  <si>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</si>
  <si>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</si>
  <si>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</si>
  <si>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</si>
  <si>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</si>
  <si>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</si>
  <si>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</si>
  <si>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</si>
  <si>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</si>
  <si>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</si>
  <si>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</si>
  <si>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</si>
  <si>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</si>
  <si>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</si>
  <si>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</si>
  <si>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</si>
  <si>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</si>
  <si>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</si>
  <si>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</si>
  <si>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</si>
  <si>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</si>
  <si>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</si>
  <si>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</si>
  <si>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</si>
  <si>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</si>
  <si>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</si>
  <si>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</si>
  <si>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</si>
  <si>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</si>
  <si>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</si>
  <si>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</si>
  <si>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</si>
  <si>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</si>
  <si>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</si>
  <si>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</si>
  <si>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</si>
  <si>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</si>
  <si>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</si>
  <si>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</si>
  <si>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</si>
  <si>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</si>
  <si>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</si>
  <si>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</si>
  <si>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</si>
  <si>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</si>
  <si>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</si>
  <si>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</si>
  <si>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</si>
  <si>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</si>
  <si>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</si>
  <si>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</si>
  <si>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</si>
  <si>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</si>
  <si>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</si>
  <si>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</si>
  <si>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</si>
  <si>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</si>
  <si>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</si>
  <si>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</si>
  <si>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</si>
  <si>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</si>
  <si>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</si>
  <si>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</si>
  <si>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</si>
  <si>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</si>
  <si>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</si>
  <si>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</si>
  <si>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</si>
  <si>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</si>
  <si>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</si>
  <si>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</si>
  <si>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</si>
  <si>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</si>
  <si>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</si>
  <si>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</si>
  <si>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</si>
  <si>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</si>
  <si>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</si>
  <si>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</si>
  <si>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</si>
  <si>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</si>
  <si>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</si>
  <si>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</si>
  <si>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</si>
  <si>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</si>
  <si>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</si>
  <si>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</si>
  <si>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</si>
  <si>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</si>
  <si>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</si>
  <si>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</si>
  <si>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</si>
  <si>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</si>
  <si>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</si>
  <si>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</si>
  <si>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</si>
  <si>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</si>
  <si>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</si>
  <si>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</si>
  <si>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</si>
  <si>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</si>
  <si>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</si>
  <si>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</si>
  <si>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</si>
  <si>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</si>
  <si>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</si>
  <si>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</si>
  <si>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</si>
  <si>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</si>
  <si>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</si>
  <si>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</si>
  <si>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</si>
  <si>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</si>
  <si>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</si>
  <si>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</si>
  <si>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</si>
  <si>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</si>
  <si>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</si>
  <si>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</si>
  <si>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</si>
  <si>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</si>
  <si>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</si>
  <si>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</si>
  <si>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</si>
  <si>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</si>
  <si>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</si>
  <si>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</si>
  <si>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</si>
  <si>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</si>
  <si>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</si>
  <si>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</si>
  <si>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</si>
  <si>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</si>
  <si>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</si>
  <si>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</si>
  <si>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</si>
  <si>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</si>
  <si>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</si>
  <si>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</si>
  <si>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</si>
  <si>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</si>
  <si>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</si>
  <si>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</si>
  <si>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</si>
  <si>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</si>
  <si>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</si>
  <si>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</si>
  <si>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</si>
  <si>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</si>
  <si>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</si>
  <si>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</si>
  <si>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</si>
  <si>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</si>
  <si>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</si>
  <si>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</si>
  <si>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</si>
  <si>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</si>
  <si>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</si>
  <si>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</si>
  <si>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</si>
  <si>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</si>
  <si>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</si>
  <si>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</si>
  <si>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</si>
  <si>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</si>
  <si>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</si>
  <si>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</si>
  <si>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</si>
  <si>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</si>
  <si>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</si>
  <si>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</si>
  <si>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</si>
  <si>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</si>
  <si>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</si>
  <si>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</si>
  <si>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</si>
  <si>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</si>
  <si>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</si>
  <si>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</si>
  <si>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</si>
  <si>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</si>
  <si>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</si>
  <si>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</si>
  <si>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</si>
  <si>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</si>
  <si>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</si>
  <si>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</si>
  <si>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</si>
  <si>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</si>
  <si>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</si>
  <si>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</si>
  <si>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</si>
  <si>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</si>
  <si>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</si>
  <si>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</si>
  <si>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</si>
  <si>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</si>
  <si>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</si>
  <si>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</si>
  <si>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</si>
  <si>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</si>
  <si>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</si>
  <si>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</si>
  <si>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</si>
  <si>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</si>
  <si>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</si>
  <si>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</si>
  <si>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</si>
  <si>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</si>
  <si>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</si>
  <si>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</si>
  <si>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</si>
  <si>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</si>
  <si>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</si>
  <si>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</si>
  <si>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</si>
  <si>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</si>
  <si>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</si>
  <si>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</si>
  <si>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</si>
  <si>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</si>
  <si>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</si>
  <si>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</si>
  <si>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</si>
  <si>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</si>
  <si>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</si>
  <si>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</si>
  <si>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</si>
  <si>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</si>
  <si>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</si>
  <si>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</si>
  <si>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</si>
  <si>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</si>
  <si>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</si>
  <si>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</si>
  <si>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</si>
  <si>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</si>
  <si>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</si>
  <si>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</si>
  <si>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</si>
  <si>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</si>
  <si>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</si>
  <si>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</si>
  <si>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</si>
  <si>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</si>
  <si>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</si>
  <si>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</si>
  <si>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</si>
  <si>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</si>
  <si>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</si>
  <si>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</si>
  <si>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</si>
  <si>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</si>
  <si>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</si>
  <si>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</si>
  <si>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</si>
  <si>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</si>
  <si>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</si>
  <si>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</si>
  <si>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</si>
  <si>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</si>
  <si>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</si>
  <si>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</si>
  <si>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</si>
  <si>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</si>
  <si>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</si>
  <si>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</si>
  <si>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</si>
  <si>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</si>
  <si>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</si>
  <si>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</si>
  <si>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</si>
  <si>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</si>
  <si>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</si>
  <si>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</si>
  <si>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</si>
  <si>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</si>
  <si>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</si>
  <si>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</si>
  <si>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</si>
  <si>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</si>
  <si>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</si>
  <si>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</si>
  <si>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</si>
  <si>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</si>
  <si>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</si>
  <si>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</si>
  <si>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</si>
  <si>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</si>
  <si>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</si>
  <si>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</si>
  <si>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</si>
  <si>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</si>
  <si>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</si>
  <si>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</si>
  <si>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</si>
  <si>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</si>
  <si>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</si>
  <si>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</si>
  <si>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</si>
  <si>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</si>
  <si>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</si>
  <si>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</si>
  <si>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</si>
  <si>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</si>
  <si>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</si>
  <si>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</si>
  <si>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</si>
  <si>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</si>
  <si>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</si>
  <si>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</si>
  <si>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</si>
  <si>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</si>
  <si>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</si>
  <si>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</si>
  <si>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</si>
  <si>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</si>
  <si>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</si>
  <si>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</si>
  <si>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</si>
  <si>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</si>
  <si>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</si>
  <si>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</si>
  <si>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</si>
  <si>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</si>
  <si>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</si>
  <si>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</si>
  <si>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</si>
  <si>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</si>
  <si>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</si>
  <si>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</si>
  <si>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</si>
  <si>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</si>
  <si>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</si>
  <si>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</si>
  <si>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</si>
  <si>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</si>
  <si>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</si>
  <si>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</si>
  <si>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</si>
  <si>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</si>
  <si>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</si>
  <si>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</si>
  <si>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</si>
  <si>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</si>
  <si>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</si>
  <si>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</si>
  <si>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</si>
  <si>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</si>
  <si>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</si>
  <si>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</si>
  <si>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</si>
  <si>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</si>
  <si>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</si>
  <si>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</si>
  <si>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</si>
  <si>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</si>
  <si>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</si>
  <si>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</si>
  <si>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</si>
  <si>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</si>
  <si>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</si>
  <si>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</si>
  <si>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</si>
  <si>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</si>
  <si>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</si>
  <si>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</si>
  <si>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</si>
  <si>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</si>
  <si>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</si>
  <si>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</si>
  <si>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</si>
  <si>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</si>
  <si>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</si>
  <si>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</si>
  <si>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</si>
  <si>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</si>
  <si>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</si>
  <si>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</si>
  <si>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</si>
  <si>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</si>
  <si>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</si>
  <si>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</si>
  <si>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</si>
  <si>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</si>
  <si>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</si>
  <si>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</si>
  <si>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</si>
  <si>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</si>
  <si>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</si>
  <si>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</si>
  <si>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</si>
  <si>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</si>
  <si>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</si>
  <si>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</si>
  <si>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</si>
  <si>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</si>
  <si>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</si>
  <si>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</si>
  <si>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</si>
  <si>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</si>
  <si>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</si>
  <si>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</si>
  <si>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</si>
  <si>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</si>
  <si>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</si>
  <si>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</si>
  <si>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</si>
  <si>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</si>
  <si>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</si>
  <si>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</si>
  <si>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</si>
  <si>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</si>
  <si>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</si>
  <si>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</si>
  <si>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</si>
  <si>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</si>
  <si>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</si>
  <si>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</si>
  <si>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</si>
  <si>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</si>
  <si>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</si>
  <si>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</si>
  <si>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</si>
  <si>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</si>
  <si>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</si>
  <si>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</si>
  <si>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</si>
  <si>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</si>
  <si>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</si>
  <si>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</si>
  <si>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</si>
  <si>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</si>
  <si>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</si>
  <si>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</si>
  <si>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</si>
  <si>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</si>
  <si>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</si>
  <si>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</si>
  <si>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</si>
  <si>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</si>
  <si>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</si>
  <si>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</si>
  <si>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</si>
  <si>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</si>
  <si>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</si>
  <si>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</si>
  <si>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</si>
  <si>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</si>
  <si>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</si>
  <si>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</si>
  <si>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</si>
  <si>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</si>
  <si>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</si>
  <si>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</si>
  <si>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</si>
  <si>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</si>
  <si>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</si>
  <si>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</si>
  <si>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</si>
  <si>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</si>
  <si>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</si>
  <si>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</si>
  <si>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</si>
  <si>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</si>
  <si>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</si>
  <si>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</si>
  <si>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</si>
  <si>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</si>
  <si>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</si>
  <si>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</si>
  <si>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</si>
  <si>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</si>
  <si>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</si>
  <si>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</si>
  <si>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</si>
  <si>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</si>
  <si>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</si>
  <si>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</si>
  <si>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</si>
  <si>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</si>
  <si>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</si>
  <si>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</si>
  <si>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</si>
  <si>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</si>
  <si>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</si>
  <si>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</si>
  <si>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</si>
  <si>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</si>
  <si>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</si>
  <si>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</si>
  <si>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</si>
  <si>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</si>
  <si>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</si>
  <si>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</si>
  <si>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</si>
  <si>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</si>
  <si>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</si>
  <si>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</si>
  <si>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</si>
  <si>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</si>
  <si>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</si>
  <si>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</si>
  <si>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</si>
  <si>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</si>
  <si>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</si>
  <si>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</si>
  <si>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</si>
  <si>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</si>
  <si>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</si>
  <si>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</si>
  <si>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</si>
  <si>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</si>
  <si>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</si>
  <si>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</si>
  <si>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</si>
  <si>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</si>
  <si>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</si>
  <si>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</si>
  <si>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</si>
  <si>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</si>
  <si>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</si>
  <si>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</si>
  <si>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</si>
  <si>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</si>
  <si>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</si>
  <si>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</si>
  <si>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</si>
  <si>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</si>
  <si>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</si>
  <si>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</si>
  <si>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</si>
  <si>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</si>
  <si>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</si>
  <si>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</si>
  <si>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</si>
  <si>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</si>
  <si>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</si>
  <si>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</si>
  <si>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</si>
  <si>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</si>
  <si>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</si>
  <si>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</si>
  <si>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</si>
  <si>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</si>
  <si>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</si>
  <si>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</si>
  <si>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</si>
  <si>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</si>
  <si>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</si>
  <si>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</si>
  <si>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</si>
  <si>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</si>
  <si>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</si>
  <si>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</si>
  <si>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</si>
  <si>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</si>
  <si>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</si>
  <si>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</si>
  <si>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</si>
  <si>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</si>
  <si>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</si>
  <si>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</si>
  <si>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</si>
  <si>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</si>
  <si>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</si>
  <si>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</si>
  <si>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</si>
  <si>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</si>
  <si>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</si>
  <si>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</si>
  <si>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</si>
  <si>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</si>
  <si>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</si>
  <si>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</si>
  <si>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</si>
  <si>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</si>
  <si>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</si>
  <si>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</si>
  <si>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</si>
  <si>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</si>
  <si>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</si>
  <si>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</si>
  <si>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</si>
  <si>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</si>
  <si>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</si>
  <si>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</si>
  <si>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</si>
  <si>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</si>
  <si>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</si>
  <si>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</si>
  <si>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</si>
  <si>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</si>
  <si>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</si>
  <si>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</si>
  <si>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</si>
  <si>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</si>
  <si>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</si>
  <si>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</si>
  <si>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</si>
  <si>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</si>
  <si>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</si>
  <si>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</si>
  <si>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</si>
  <si>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</si>
  <si>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</si>
  <si>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</si>
  <si>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</si>
  <si>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</si>
  <si>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</si>
  <si>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</si>
  <si>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</si>
  <si>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</si>
  <si>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</si>
  <si>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</si>
  <si>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</si>
  <si>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</si>
  <si>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</si>
  <si>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</si>
  <si>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</si>
  <si>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</si>
  <si>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</si>
  <si>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</si>
  <si>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</si>
  <si>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</si>
  <si>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</si>
  <si>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</si>
  <si>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</si>
  <si>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</si>
  <si>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</si>
  <si>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</si>
  <si>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</si>
  <si>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</si>
  <si>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</si>
  <si>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</si>
  <si>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</si>
  <si>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</si>
  <si>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</si>
  <si>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</si>
  <si>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</si>
  <si>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</si>
  <si>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</si>
  <si>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</si>
  <si>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</si>
  <si>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</si>
  <si>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</si>
  <si>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</si>
  <si>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</si>
  <si>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</si>
  <si>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</si>
  <si>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</si>
  <si>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</si>
  <si>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</si>
  <si>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</si>
  <si>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</si>
  <si>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</si>
  <si>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</si>
  <si>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</si>
  <si>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</si>
  <si>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</si>
  <si>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</si>
  <si>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</si>
  <si>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</si>
  <si>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</si>
  <si>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</si>
  <si>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</si>
  <si>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</si>
  <si>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</si>
  <si>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</si>
  <si>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</si>
  <si>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</si>
  <si>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</si>
  <si>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</si>
  <si>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</si>
  <si>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</si>
  <si>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</si>
  <si>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</si>
  <si>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</si>
  <si>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</si>
  <si>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</si>
  <si>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</si>
  <si>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</si>
  <si>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</si>
  <si>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</si>
  <si>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</si>
  <si>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</si>
  <si>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</si>
  <si>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</si>
  <si>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</si>
  <si>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</si>
  <si>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</si>
  <si>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</si>
  <si>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</si>
  <si>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</si>
  <si>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</si>
  <si>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</si>
  <si>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</si>
  <si>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</si>
  <si>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</si>
  <si>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</si>
  <si>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</si>
  <si>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</si>
  <si>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</si>
  <si>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</si>
  <si>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</si>
  <si>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</si>
  <si>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</si>
  <si>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</si>
  <si>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</si>
  <si>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</si>
  <si>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</si>
  <si>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</si>
  <si>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</si>
  <si>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</si>
  <si>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</si>
  <si>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</si>
  <si>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</si>
  <si>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</si>
  <si>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</si>
  <si>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</si>
  <si>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</si>
  <si>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</si>
  <si>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</si>
  <si>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</si>
  <si>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</si>
  <si>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</si>
  <si>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</si>
  <si>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</si>
  <si>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</si>
  <si>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</si>
  <si>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</si>
  <si>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</si>
  <si>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</si>
  <si>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</si>
  <si>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</si>
  <si>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</si>
  <si>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</si>
  <si>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</si>
  <si>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</si>
  <si>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</si>
  <si>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</si>
  <si>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</si>
  <si>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</si>
  <si>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</si>
  <si>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</si>
  <si>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</si>
  <si>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</si>
  <si>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</si>
  <si>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</si>
  <si>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</si>
  <si>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</si>
  <si>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</si>
  <si>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</si>
  <si>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</si>
  <si>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</si>
  <si>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</si>
  <si>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</si>
  <si>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</si>
  <si>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</si>
  <si>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</si>
  <si>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</si>
  <si>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</si>
  <si>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</si>
  <si>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</si>
  <si>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</si>
  <si>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</si>
  <si>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</si>
  <si>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</si>
  <si>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</si>
  <si>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</si>
  <si>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</si>
  <si>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</si>
  <si>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</si>
  <si>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</si>
  <si>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</si>
  <si>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</si>
  <si>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</si>
  <si>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</si>
  <si>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</si>
  <si>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</si>
  <si>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</si>
  <si>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</si>
  <si>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</si>
  <si>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</si>
  <si>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</si>
  <si>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</si>
  <si>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</si>
  <si>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</si>
  <si>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</si>
  <si>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</si>
  <si>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</si>
  <si>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</si>
  <si>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</si>
  <si>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</si>
  <si>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</si>
  <si>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</si>
  <si>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</si>
  <si>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</si>
  <si>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</si>
  <si>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</si>
  <si>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</si>
  <si>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</si>
  <si>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</si>
  <si>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</si>
  <si>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</si>
  <si>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</si>
  <si>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</si>
  <si>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</si>
  <si>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</si>
  <si>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</si>
  <si>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</si>
  <si>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</si>
  <si>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</si>
  <si>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</si>
  <si>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</si>
  <si>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</si>
  <si>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</si>
  <si>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</si>
  <si>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</si>
  <si>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</si>
  <si>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</si>
  <si>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</si>
  <si>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</si>
  <si>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</si>
  <si>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</si>
  <si>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</si>
  <si>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</si>
  <si>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</si>
  <si>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</si>
  <si>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</si>
  <si>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</si>
  <si>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</si>
  <si>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</si>
  <si>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</si>
  <si>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</si>
  <si>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</si>
  <si>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</si>
  <si>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</si>
  <si>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</si>
  <si>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</si>
  <si>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</si>
  <si>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</si>
  <si>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</si>
  <si>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</si>
  <si>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</si>
  <si>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</si>
  <si>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</si>
  <si>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</si>
  <si>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</si>
  <si>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</si>
  <si>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</si>
  <si>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</si>
  <si>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</si>
  <si>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</si>
  <si>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</si>
  <si>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</si>
  <si>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</si>
  <si>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</si>
  <si>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</si>
  <si>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</si>
  <si>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</si>
  <si>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</si>
  <si>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</si>
  <si>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</si>
  <si>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</si>
  <si>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</si>
  <si>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</si>
  <si>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</si>
  <si>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</si>
  <si>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</si>
  <si>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</si>
  <si>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</si>
  <si>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</si>
  <si>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</si>
  <si>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</si>
  <si>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</si>
  <si>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</si>
  <si>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</si>
  <si>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</si>
  <si>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</si>
  <si>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</si>
  <si>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</si>
  <si>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</si>
  <si>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</si>
  <si>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</si>
  <si>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</si>
  <si>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</si>
  <si>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</si>
  <si>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</si>
  <si>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</si>
  <si>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</si>
  <si>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</si>
  <si>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</si>
  <si>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</si>
  <si>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</si>
  <si>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</si>
  <si>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</si>
  <si>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</si>
  <si>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</si>
  <si>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</si>
  <si>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</si>
  <si>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</si>
  <si>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</si>
  <si>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</si>
  <si>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</si>
  <si>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</si>
  <si>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</si>
  <si>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</si>
  <si>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</si>
  <si>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</si>
  <si>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</si>
  <si>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</si>
  <si>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</si>
  <si>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</si>
  <si>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</si>
  <si>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</si>
  <si>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</si>
  <si>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</si>
  <si>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</si>
  <si>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</si>
  <si>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</si>
  <si>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</si>
  <si>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</si>
  <si>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</si>
  <si>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</si>
  <si>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</si>
  <si>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</si>
  <si>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</si>
  <si>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</si>
  <si>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</si>
  <si>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</si>
  <si>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</si>
  <si>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</si>
  <si>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</si>
  <si>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</si>
  <si>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</si>
  <si>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</si>
  <si>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</si>
  <si>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</si>
  <si>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</si>
  <si>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</si>
  <si>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</si>
  <si>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</si>
  <si>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</si>
  <si>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</si>
  <si>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</si>
  <si>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</si>
  <si>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</si>
  <si>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</si>
  <si>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</si>
  <si>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</si>
  <si>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</si>
  <si>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</si>
  <si>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</si>
  <si>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</si>
  <si>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</si>
  <si>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</si>
  <si>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</si>
  <si>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</si>
  <si>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</si>
  <si>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</si>
  <si>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</si>
  <si>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</si>
  <si>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</si>
  <si>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</si>
  <si>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</si>
  <si>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</si>
  <si>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</si>
  <si>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</si>
  <si>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</si>
  <si>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</si>
  <si>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</si>
  <si>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</si>
  <si>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</si>
  <si>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</si>
  <si>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</si>
  <si>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</si>
  <si>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</si>
  <si>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</si>
  <si>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</si>
  <si>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</si>
  <si>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</si>
  <si>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</si>
  <si>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</si>
  <si>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</si>
  <si>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</si>
  <si>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</si>
  <si>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</si>
  <si>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</si>
  <si>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</si>
  <si>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</si>
  <si>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</si>
  <si>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</si>
  <si>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</si>
  <si>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</si>
  <si>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</si>
  <si>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</si>
  <si>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</si>
  <si>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</si>
  <si>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</si>
  <si>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</si>
  <si>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</si>
  <si>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</si>
  <si>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</si>
  <si>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</si>
  <si>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</si>
  <si>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</si>
  <si>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</si>
  <si>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</si>
  <si>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</si>
  <si>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</si>
  <si>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</si>
  <si>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</si>
  <si>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</si>
  <si>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</si>
  <si>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</si>
  <si>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</si>
  <si>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</si>
  <si>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</si>
  <si>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</si>
  <si>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</si>
  <si>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</si>
  <si>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</si>
  <si>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</si>
  <si>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</si>
  <si>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</si>
  <si>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</si>
  <si>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</si>
  <si>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</si>
  <si>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</si>
  <si>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</si>
  <si>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</si>
  <si>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</si>
  <si>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</si>
  <si>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</si>
  <si>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</si>
  <si>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</si>
  <si>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</si>
  <si>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</si>
  <si>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</si>
  <si>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</si>
  <si>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</si>
  <si>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</si>
  <si>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</si>
  <si>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</si>
  <si>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</si>
  <si>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</si>
  <si>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</si>
  <si>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</si>
  <si>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</si>
  <si>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</si>
  <si>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</si>
  <si>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</si>
  <si>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</si>
  <si>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</si>
  <si>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</si>
  <si>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</si>
  <si>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</si>
  <si>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</si>
  <si>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</si>
  <si>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</si>
  <si>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</si>
  <si>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</si>
  <si>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</si>
  <si>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</si>
  <si>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</si>
  <si>
    <t>3</t>
  </si>
  <si>
    <t>0</t>
  </si>
  <si>
    <t>2</t>
  </si>
  <si>
    <t>=SIERREUR(RECHERCHEV("702200";'BAL N'!A:H;8;FAUX);SIERREUR(RECHERCHEV(702200;'BAL N'!A:H;8;FAUX);0))</t>
  </si>
  <si>
    <t>Test Autre</t>
  </si>
  <si>
    <t>1</t>
  </si>
  <si>
    <t>Nguema</t>
  </si>
  <si>
    <t>Steeve</t>
  </si>
  <si>
    <t>Gerant principal</t>
  </si>
  <si>
    <t>Identifiant-234001</t>
  </si>
  <si>
    <t xml:space="preserve">Directeur </t>
  </si>
  <si>
    <t/>
  </si>
  <si>
    <t>MAROTTA Eduardo</t>
  </si>
  <si>
    <t>Italienne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</si>
</sst>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v>45657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1:257" s="348" customFormat="1" ht="8.1" customHeight="1">
      <c r="A12" s="348" t="s">
        <v>1887</v>
      </c>
      <c r="B12" s="342" t="s">
        <v>1888</v>
      </c>
      <c r="C12" s="343" t="s">
        <v>1889</v>
      </c>
      <c r="D12" s="343" t="s">
        <v>1890</v>
      </c>
      <c r="E12" s="343" t="s">
        <v>1397</v>
      </c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45292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45657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45657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45291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1:40" ht="12.75" customHeight="1">
      <c r="A32" s="85" t="s">
        <v>1887</v>
      </c>
      <c r="B32" s="145" t="s">
        <v>1888</v>
      </c>
      <c r="C32" s="358" t="s">
        <v>1891</v>
      </c>
      <c r="D32" s="980" t="s">
        <v>1397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 t="s">
        <v>1520</v>
      </c>
      <c r="C33" s="86"/>
      <c r="D33" s="926" t="s">
        <v>1881</v>
      </c>
      <c r="E33" s="927" t="s">
        <v>1882</v>
      </c>
      <c r="F33" s="927" t="s">
        <v>1882</v>
      </c>
      <c r="G33" s="927" t="s">
        <v>1882</v>
      </c>
      <c r="H33" s="927" t="s">
        <v>1883</v>
      </c>
      <c r="I33" s="927" t="s">
        <v>1882</v>
      </c>
      <c r="J33" s="927"/>
      <c r="K33" s="927"/>
      <c r="L33" s="927" t="s">
        <v>1884</v>
      </c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 t="s">
        <v>1885</v>
      </c>
      <c r="C34" s="337"/>
      <c r="D34" s="337" t="s">
        <v>1886</v>
      </c>
      <c r="E34" s="337" t="s">
        <v>1882</v>
      </c>
      <c r="F34" s="337" t="s">
        <v>1882</v>
      </c>
      <c r="G34" s="337" t="s">
        <v>1882</v>
      </c>
      <c r="H34" s="337" t="s">
        <v>1881</v>
      </c>
      <c r="I34" s="337" t="s">
        <v>1882</v>
      </c>
      <c r="J34" s="337"/>
      <c r="K34" s="337"/>
      <c r="L34" s="337" t="s">
        <v>1884</v>
      </c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45657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 t="s">
        <v>1892</v>
      </c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1881</v>
      </c>
      <c r="E33" s="490" t="s">
        <v>1882</v>
      </c>
      <c r="F33" s="490" t="s">
        <v>1882</v>
      </c>
      <c r="G33" s="490" t="s">
        <v>1882</v>
      </c>
      <c r="H33" s="490" t="s">
        <v>1883</v>
      </c>
      <c r="I33" s="490" t="s">
        <v>1882</v>
      </c>
      <c r="J33" s="126"/>
      <c r="K33" s="108"/>
      <c r="L33" s="127" t="s">
        <v>1884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 t="s">
        <v>1885</v>
      </c>
      <c r="C34" s="108"/>
      <c r="D34" s="306" t="s">
        <v>1886</v>
      </c>
      <c r="E34" s="306" t="s">
        <v>1882</v>
      </c>
      <c r="F34" s="306" t="s">
        <v>1882</v>
      </c>
      <c r="G34" s="306" t="s">
        <v>1882</v>
      </c>
      <c r="H34" s="306" t="s">
        <v>1881</v>
      </c>
      <c r="I34" s="306" t="s">
        <v>1882</v>
      </c>
      <c r="J34" s="105"/>
      <c r="K34" s="108"/>
      <c r="L34" s="105" t="s">
        <v>1884</v>
      </c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45657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45657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45657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31/12/2024</v>
      </c>
      <c r="E6" s="1054"/>
      <c r="F6" s="1055"/>
      <c r="G6" s="568" t="str">
        <f>IFERROR("Exercice au 31/12/"&amp;YEAR('Fiche de renseignement R1'!Q20),"Exercice au 31/12/N-1")</f>
        <v>Exercice au 31/12/2023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31/12/2024</v>
      </c>
      <c r="L6" s="569" t="str">
        <f>IFERROR("Exercice au 31/12/"&amp;YEAR('Fiche de renseignement R1'!Q20),"Exercice au 31/12/N-1")</f>
        <v>Exercice au 31/12/2023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31/12/2024</v>
      </c>
      <c r="F6" s="46" t="str">
        <f>IFERROR("31/12/"&amp;YEAR('Fiche de renseignement R1'!Q20),"Exercice au 31/12/N-1")</f>
        <v>31/12/2023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31/12/2024</v>
      </c>
      <c r="F6" s="667" t="str">
        <f>IFERROR("31/12/"&amp;YEAR('Fiche de renseignement R1'!Q20),"Exercice au 31/12/N-1")</f>
        <v>31/12/2023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45657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45657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45657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45657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45657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2024</v>
      </c>
      <c r="C8" s="1152"/>
      <c r="D8" s="1151">
        <f>IFERROR(YEAR('Fiche de renseignement R1'!Q20),"Annee N-1")</f>
        <v>2023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2024</v>
      </c>
      <c r="C22" s="1141"/>
      <c r="D22" s="1140">
        <f>IFERROR(YEAR('Fiche de renseignement R1'!Q20),"Annee N-1")</f>
        <v>2023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45657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070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1893</v>
      </c>
      <c r="B10" s="153" t="s">
        <v>1894</v>
      </c>
      <c r="C10" s="1179">
        <v>7250000</v>
      </c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2024</v>
      </c>
      <c r="C7" s="1141"/>
      <c r="D7" s="1140">
        <f>IFERROR(YEAR('Fiche de renseignement R1'!Q20),"Annee N-1")</f>
        <v>2023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45657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45657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45657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45657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2024</v>
      </c>
      <c r="C8" s="1095"/>
      <c r="D8" s="1093">
        <f>IFERROR(YEAR('Fiche de renseignement R1'!Q20),"Annee N-1")</f>
        <v>2023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2024</v>
      </c>
      <c r="C22" s="1095"/>
      <c r="D22" s="1093">
        <f>IFERROR(YEAR('Fiche de renseignement R1'!Q20),"Annee N-1")</f>
        <v>2023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2024</v>
      </c>
      <c r="D36" s="1095"/>
      <c r="E36" s="1093">
        <f>IFERROR(YEAR('Fiche de renseignement R1'!Q20),"Annee N-1")</f>
        <v>2023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45657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2024</v>
      </c>
      <c r="C7" s="1070"/>
      <c r="D7" s="1070">
        <f>IFERROR(YEAR('Fiche de renseignement R1'!Q20),"Annee N-1")</f>
        <v>2023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2024</v>
      </c>
      <c r="C17" s="1095"/>
      <c r="D17" s="1212">
        <f>IFERROR(YEAR('Fiche de renseignement R1'!Q20),"Annee N-1")</f>
        <v>2023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45657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2024</v>
      </c>
      <c r="D7" s="159">
        <f>IFERROR(YEAR('Fiche de renseignement R1'!Q20),"Annee N-1")</f>
        <v>2023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45657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45657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45657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45657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45657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45657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45657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2024</v>
      </c>
      <c r="C6" s="1254">
        <f>IFERROR(YEAR('Fiche de renseignement R1'!V10)-1,"N-1")</f>
        <v>2023</v>
      </c>
      <c r="D6" s="1254">
        <f>IFERROR(YEAR('Fiche de renseignement R1'!V10)-2,"N-2")</f>
        <v>2022</v>
      </c>
      <c r="E6" s="1254">
        <f>IFERROR(YEAR('Fiche de renseignement R1'!V10)-3,"N-3")</f>
        <v>2021</v>
      </c>
      <c r="F6" s="1254">
        <f>IFERROR(YEAR('Fiche de renseignement R1'!V10)-4,"N-4")</f>
        <v>2020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45657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45657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2024</v>
      </c>
      <c r="C6" s="868">
        <f>IFERROR(YEAR('Fiche de renseignement R1'!Q20),"Annee N-1")</f>
        <v>2023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45657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80e1de-7743-449d-82a8-6da0a849f76b}">
  <dimension ref="A5"/>
  <sheetViews>
    <sheetView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f45a63-ed1e-4edd-aa26-bf94174e0697}">
  <dimension ref="A5"/>
  <sheetViews>
    <sheetView tabSelected="1" workbookViewId="0" topLeftCell="A1"/>
  </sheetViews>
  <sheetFormatPr defaultRowHeight="12.75"/>
  <sheetData>
    <row r="5" spans="1:1" ht="23.25" customHeight="1">
      <c r="A5" s="1321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